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b10461\Desktop\"/>
    </mc:Choice>
  </mc:AlternateContent>
  <xr:revisionPtr revIDLastSave="0" documentId="13_ncr:1_{5DA1199E-AE8A-4EDE-B94C-DC8EB2D3D183}" xr6:coauthVersionLast="47" xr6:coauthVersionMax="47" xr10:uidLastSave="{00000000-0000-0000-0000-000000000000}"/>
  <bookViews>
    <workbookView xWindow="-120" yWindow="-120" windowWidth="20730" windowHeight="11160" xr2:uid="{9D43EA52-8780-4D0B-86DA-C74FC538A1AC}"/>
  </bookViews>
  <sheets>
    <sheet name="Gerar Jogos" sheetId="2" r:id="rId1"/>
    <sheet name="Resultados" sheetId="1" r:id="rId2"/>
    <sheet name="Aux.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1" i="1" l="1"/>
  <c r="N7" i="1" a="1"/>
  <c r="N7" i="1" s="1"/>
  <c r="CR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AL16" i="1"/>
  <c r="AK16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N11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N8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Z10" i="1" l="1"/>
  <c r="R10" i="1"/>
  <c r="Y10" i="1"/>
  <c r="U10" i="1"/>
  <c r="Q10" i="1"/>
  <c r="V10" i="1"/>
  <c r="X10" i="1"/>
  <c r="T10" i="1"/>
  <c r="P10" i="1"/>
  <c r="AA10" i="1"/>
  <c r="W10" i="1"/>
  <c r="S10" i="1"/>
  <c r="O10" i="1"/>
  <c r="AB10" i="1"/>
  <c r="N10" i="1"/>
  <c r="AD12" i="1"/>
  <c r="AB9" i="1"/>
  <c r="AG9" i="1"/>
  <c r="AC9" i="1"/>
  <c r="Z9" i="1"/>
  <c r="U9" i="1"/>
  <c r="V9" i="1"/>
  <c r="AF9" i="1"/>
  <c r="X9" i="1"/>
  <c r="T9" i="1"/>
  <c r="P9" i="1"/>
  <c r="AE9" i="1"/>
  <c r="AA9" i="1"/>
  <c r="W9" i="1"/>
  <c r="S9" i="1"/>
  <c r="O9" i="1"/>
  <c r="AH9" i="1"/>
  <c r="R9" i="1"/>
  <c r="Y9" i="1"/>
  <c r="Q9" i="1"/>
  <c r="AD9" i="1"/>
  <c r="N9" i="1"/>
  <c r="N12" i="1"/>
  <c r="AC12" i="1"/>
  <c r="AA12" i="1"/>
  <c r="W12" i="1"/>
  <c r="S12" i="1"/>
  <c r="O12" i="1"/>
  <c r="Y12" i="1"/>
  <c r="U12" i="1"/>
  <c r="Q12" i="1"/>
  <c r="AB12" i="1"/>
  <c r="X12" i="1"/>
  <c r="T12" i="1"/>
  <c r="P12" i="1"/>
  <c r="R12" i="1"/>
  <c r="V12" i="1"/>
  <c r="Z12" i="1"/>
  <c r="C3" i="2" l="1" a="1"/>
  <c r="C3" i="2" s="1"/>
  <c r="D3" i="2" a="1"/>
  <c r="D3" i="2" s="1"/>
  <c r="F3" i="2" a="1"/>
  <c r="F3" i="2" s="1"/>
  <c r="H3" i="2" a="1"/>
  <c r="H3" i="2" s="1"/>
  <c r="E3" i="2" a="1"/>
  <c r="E3" i="2" s="1"/>
  <c r="G3" i="2" a="1"/>
  <c r="G3" i="2" s="1"/>
  <c r="C5" i="2" a="1"/>
  <c r="C5" i="2" s="1"/>
  <c r="D5" i="2" a="1"/>
  <c r="D5" i="2" s="1"/>
  <c r="F5" i="2" a="1"/>
  <c r="F5" i="2" s="1"/>
  <c r="H5" i="2" a="1"/>
  <c r="H5" i="2" s="1"/>
  <c r="E5" i="2" a="1"/>
  <c r="E5" i="2" s="1"/>
  <c r="G5" i="2" a="1"/>
  <c r="G5" i="2" s="1"/>
  <c r="G4" i="2" a="1"/>
  <c r="G4" i="2" s="1"/>
  <c r="H4" i="2" a="1"/>
  <c r="H4" i="2" s="1"/>
  <c r="E4" i="2" a="1"/>
  <c r="E4" i="2" s="1"/>
  <c r="F4" i="2" a="1"/>
  <c r="F4" i="2" s="1"/>
  <c r="C4" i="2" a="1"/>
  <c r="C4" i="2" s="1"/>
  <c r="D4" i="2" a="1"/>
  <c r="D4" i="2" s="1"/>
  <c r="M3" i="1"/>
  <c r="J3" i="1" s="1"/>
  <c r="K3" i="1" s="1"/>
  <c r="N3" i="1" a="1"/>
  <c r="N3" i="1" s="1"/>
  <c r="M5" i="1"/>
  <c r="J5" i="1" s="1"/>
  <c r="K5" i="1" s="1"/>
  <c r="M4" i="1"/>
  <c r="J4" i="1" s="1"/>
  <c r="K4" i="1" s="1"/>
  <c r="M6" i="1"/>
  <c r="J6" i="1" s="1"/>
  <c r="K6" i="1" s="1"/>
  <c r="M7" i="1"/>
  <c r="J7" i="1" s="1"/>
  <c r="K7" i="1" s="1"/>
  <c r="N4" i="1" a="1"/>
  <c r="N4" i="1" s="1"/>
  <c r="N6" i="1" a="1"/>
  <c r="N6" i="1" s="1"/>
  <c r="N5" i="1" a="1"/>
  <c r="N5" i="1" s="1"/>
  <c r="N2" i="3" l="1"/>
  <c r="C2" i="3"/>
  <c r="B2" i="3"/>
  <c r="A2" i="3"/>
  <c r="E2" i="3"/>
  <c r="O2" i="3"/>
  <c r="F2" i="3"/>
  <c r="M2" i="3"/>
  <c r="P2" i="3"/>
  <c r="R2" i="3"/>
  <c r="Q2" i="3"/>
  <c r="D2" i="3"/>
  <c r="H2" i="3"/>
  <c r="G2" i="3"/>
  <c r="K2" i="3" l="1"/>
  <c r="L2" i="3"/>
  <c r="J2" i="3"/>
  <c r="I2" i="3"/>
  <c r="Q1" i="3" l="1"/>
  <c r="A1" i="3"/>
  <c r="I1" i="3"/>
  <c r="R1" i="3"/>
  <c r="J1" i="3"/>
  <c r="C1" i="3"/>
  <c r="L1" i="3"/>
  <c r="E1" i="3"/>
  <c r="D1" i="3"/>
  <c r="B1" i="3"/>
  <c r="O1" i="3"/>
  <c r="M1" i="3"/>
  <c r="P1" i="3"/>
  <c r="N1" i="3"/>
  <c r="K1" i="3"/>
  <c r="G1" i="3"/>
  <c r="F1" i="3"/>
  <c r="H1" i="3"/>
  <c r="D6" i="2" l="1"/>
  <c r="H6" i="2"/>
  <c r="E6" i="2"/>
  <c r="G6" i="2"/>
  <c r="F6" i="2"/>
  <c r="C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<sst xmlns="http://schemas.openxmlformats.org/spreadsheetml/2006/main" count="12" uniqueCount="12">
  <si>
    <t>Ano</t>
  </si>
  <si>
    <t>Dezenas sorteadas</t>
  </si>
  <si>
    <t>NÚMEROS</t>
  </si>
  <si>
    <t>Combinações</t>
  </si>
  <si>
    <t>Qtd. Aparições</t>
  </si>
  <si>
    <t>#</t>
  </si>
  <si>
    <t>Custo</t>
  </si>
  <si>
    <t>Nº's</t>
  </si>
  <si>
    <t>JOGO 1</t>
  </si>
  <si>
    <t>JOGO 2</t>
  </si>
  <si>
    <t>JOGO 3</t>
  </si>
  <si>
    <t>JOGO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</si>
</sst>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2" fillId="0" borderId="1" xfId="0" applyFont="1" applyBorder="1" applyAlignment="1">
      <alignment horizontal="center" vertical="center"/>
    </xf>
    <xf numFmtId="0" fontId="0" fillId="0" borderId="13" xfId="0" applyBorder="1" applyAlignment="1">
      <alignment vertical="center"/>
    </xf>
    <xf numFmtId="44" fontId="0" fillId="0" borderId="2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44" fontId="0" fillId="3" borderId="2" xfId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0" xfId="0" applyFill="1"/>
    <xf numFmtId="0" fontId="0" fillId="3" borderId="9" xfId="0" applyFill="1" applyBorder="1"/>
    <xf numFmtId="44" fontId="0" fillId="3" borderId="1" xfId="1" applyFont="1" applyFill="1" applyBorder="1" applyAlignment="1">
      <alignment horizontal="center" vertical="center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8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7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552450</xdr:colOff>
      <xdr:row>0</xdr:row>
      <xdr:rowOff>161925</xdr:rowOff>
    </xdr:from>
    <xdr:to>
      <xdr:col>12</xdr:col>
      <xdr:colOff>209550</xdr:colOff>
      <xdr:row>3</xdr:row>
      <xdr:rowOff>180975</xdr:rowOff>
    </xdr:to>
    <xdr:sp macro="[0]!Atualiz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484E8FF-45ED-4B1D-921C-10C233F51DB1}"/>
            </a:ext>
          </a:extLst>
        </xdr:cNvPr>
        <xdr:cNvSpPr/>
      </xdr:nvSpPr>
      <xdr:spPr>
        <a:xfrm>
          <a:off x="4914900" y="161925"/>
          <a:ext cx="2095500" cy="59055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GERAR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D068A-A5B0-4B9A-972A-DF71A87E7114}">
  <sheetPr codeName="Planilha2"/>
  <dimension ref="B2:H6"/>
  <sheetViews>
    <sheetView showGridLines="0" showRowColHeaders="0" tabSelected="1" workbookViewId="0">
      <selection activeCell="A2" sqref="A2"/>
    </sheetView>
  </sheetViews>
  <sheetFormatPr defaultRowHeight="15" x14ac:dyDescent="0.25"/>
  <cols>
    <col min="1" max="1" width="1.42578125" customWidth="1"/>
    <col min="2" max="8" width="9.140625" style="1"/>
  </cols>
  <sheetData>
    <row r="2" spans="2:8" x14ac:dyDescent="0.25">
      <c r="B2" s="51" t="s">
        <v>7</v>
      </c>
      <c r="C2" s="51">
        <v>1</v>
      </c>
      <c r="D2" s="51">
        <v>2</v>
      </c>
      <c r="E2" s="51">
        <v>3</v>
      </c>
      <c r="F2" s="51">
        <v>4</v>
      </c>
      <c r="G2" s="51">
        <v>5</v>
      </c>
      <c r="H2" s="51">
        <v>6</v>
      </c>
    </row>
    <row r="3" spans="2:8" x14ac:dyDescent="0.25">
      <c r="B3" s="51" t="s">
        <v>8</v>
      </c>
      <c r="C3" s="1" cm="1">
        <f t="array" aca="1" ref="C3" ca="1">_xlfn.XLOOKUP(C$2,Resultados!$N$10:$AB$10,_xlfn.ANCHORARRAY(Resultados!$N$3),0)</f>
        <v>39</v>
      </c>
      <c r="D3" s="1" cm="1">
        <f t="array" aca="1" ref="D3" ca="1">_xlfn.XLOOKUP(D$2,Resultados!$N$10:$AB$10,_xlfn.ANCHORARRAY(Resultados!$N$3),0)</f>
        <v>49</v>
      </c>
      <c r="E3" s="1" cm="1">
        <f t="array" aca="1" ref="E3" ca="1">_xlfn.XLOOKUP(E$2,Resultados!$N$10:$AB$10,_xlfn.ANCHORARRAY(Resultados!$N$3),0)</f>
        <v>48</v>
      </c>
      <c r="F3" s="1" cm="1">
        <f t="array" aca="1" ref="F3" ca="1">_xlfn.XLOOKUP(F$2,Resultados!$N$10:$AB$10,_xlfn.ANCHORARRAY(Resultados!$N$3),0)</f>
        <v>13</v>
      </c>
      <c r="G3" s="1" cm="1">
        <f t="array" aca="1" ref="G3" ca="1">_xlfn.XLOOKUP(G$2,Resultados!$N$10:$AB$10,_xlfn.ANCHORARRAY(Resultados!$N$3),0)</f>
        <v>21</v>
      </c>
      <c r="H3" s="1" cm="1">
        <f t="array" aca="1" ref="H3" ca="1">_xlfn.XLOOKUP(H$2,Resultados!$N$10:$AB$10,_xlfn.ANCHORARRAY(Resultados!$N$3),0)</f>
        <v>44</v>
      </c>
    </row>
    <row r="4" spans="2:8" x14ac:dyDescent="0.25">
      <c r="B4" s="51" t="s">
        <v>9</v>
      </c>
      <c r="C4" s="1" cm="1">
        <f t="array" aca="1" ref="C4" ca="1">_xlfn.XLOOKUP(C$2,Resultados!$N$9:$AH$9,_xlfn.ANCHORARRAY(Resultados!N4),0)</f>
        <v>30</v>
      </c>
      <c r="D4" s="1" cm="1">
        <f t="array" aca="1" ref="D4" ca="1">_xlfn.XLOOKUP(D$2,Resultados!$N$9:$AH$9,_xlfn.ANCHORARRAY(Resultados!N4),0)</f>
        <v>43</v>
      </c>
      <c r="E4" s="1" cm="1">
        <f t="array" aca="1" ref="E4" ca="1">_xlfn.XLOOKUP(E$2,Resultados!$N$9:$AH$9,_xlfn.ANCHORARRAY(Resultados!N4),0)</f>
        <v>47</v>
      </c>
      <c r="F4" s="1" cm="1">
        <f t="array" aca="1" ref="F4" ca="1">_xlfn.XLOOKUP(F$2,Resultados!$N$9:$AH$9,_xlfn.ANCHORARRAY(Resultados!N4),0)</f>
        <v>40</v>
      </c>
      <c r="G4" s="1" cm="1">
        <f t="array" aca="1" ref="G4" ca="1">_xlfn.XLOOKUP(G$2,Resultados!$N$9:$AH$9,_xlfn.ANCHORARRAY(Resultados!N4),0)</f>
        <v>15</v>
      </c>
      <c r="H4" s="1" cm="1">
        <f t="array" aca="1" ref="H4" ca="1">_xlfn.XLOOKUP(H$2,Resultados!$N$9:$AH$9,_xlfn.ANCHORARRAY(Resultados!N4),0)</f>
        <v>23</v>
      </c>
    </row>
    <row r="5" spans="2:8" x14ac:dyDescent="0.25">
      <c r="B5" s="51" t="s">
        <v>10</v>
      </c>
      <c r="C5" s="1" cm="1">
        <f t="array" aca="1" ref="C5" ca="1">_xlfn.XLOOKUP(C$2,Resultados!$N$12:$AD$12,_xlfn.ANCHORARRAY(Resultados!$N$5),0)</f>
        <v>42</v>
      </c>
      <c r="D5" s="1" cm="1">
        <f t="array" aca="1" ref="D5" ca="1">_xlfn.XLOOKUP(D$2,Resultados!$N$12:$AD$12,_xlfn.ANCHORARRAY(Resultados!$N$5),0)</f>
        <v>37</v>
      </c>
      <c r="E5" s="1" cm="1">
        <f t="array" aca="1" ref="E5" ca="1">_xlfn.XLOOKUP(E$2,Resultados!$N$12:$AD$12,_xlfn.ANCHORARRAY(Resultados!$N$5),0)</f>
        <v>32</v>
      </c>
      <c r="F5" s="1" cm="1">
        <f t="array" aca="1" ref="F5" ca="1">_xlfn.XLOOKUP(F$2,Resultados!$N$12:$AD$12,_xlfn.ANCHORARRAY(Resultados!$N$5),0)</f>
        <v>56</v>
      </c>
      <c r="G5" s="1" cm="1">
        <f t="array" aca="1" ref="G5" ca="1">_xlfn.XLOOKUP(G$2,Resultados!$N$12:$AD$12,_xlfn.ANCHORARRAY(Resultados!$N$5),0)</f>
        <v>22</v>
      </c>
      <c r="H5" s="1" cm="1">
        <f t="array" aca="1" ref="H5" ca="1">_xlfn.XLOOKUP(H$2,Resultados!$N$12:$AD$12,_xlfn.ANCHORARRAY(Resultados!$N$5),0)</f>
        <v>51</v>
      </c>
    </row>
    <row r="6" spans="2:8" x14ac:dyDescent="0.25">
      <c r="B6" s="51" t="s">
        <v>11</v>
      </c>
      <c r="C6" s="1">
        <f ca="1">_xlfn.XLOOKUP(C2,Aux.!1:1,Aux.!2:2,0)</f>
        <v>56</v>
      </c>
      <c r="D6" s="1">
        <f ca="1">_xlfn.XLOOKUP(D2,Aux.!1:1,Aux.!2:2,0)</f>
        <v>51</v>
      </c>
      <c r="E6" s="1">
        <f ca="1">_xlfn.XLOOKUP(E2,Aux.!1:1,Aux.!2:2,0)</f>
        <v>49</v>
      </c>
      <c r="F6" s="1">
        <f ca="1">_xlfn.XLOOKUP(F2,Aux.!1:1,Aux.!2:2,0)</f>
        <v>48</v>
      </c>
      <c r="G6" s="1">
        <f ca="1">_xlfn.XLOOKUP(G2,Aux.!1:1,Aux.!2:2,0)</f>
        <v>47</v>
      </c>
      <c r="H6" s="1">
        <f ca="1">_xlfn.XLOOKUP(H2,Aux.!1:1,Aux.!2:2,0)</f>
        <v>44</v>
      </c>
    </row>
  </sheetData>
  <phoneticPr fontId="6" type="noConversion"/>
  <conditionalFormatting sqref="C3:H5">
    <cfRule type="cellIs" dxfId="6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5F9E-BF6E-4AFF-8D5A-0DD2DF40C18C}">
  <sheetPr codeName="Planilha1"/>
  <dimension ref="B1:CR18"/>
  <sheetViews>
    <sheetView showGridLines="0" showRowColHeaders="0" zoomScaleNormal="100" workbookViewId="0"/>
  </sheetViews>
  <sheetFormatPr defaultRowHeight="15" x14ac:dyDescent="0.25"/>
  <cols>
    <col min="1" max="1" width="1.42578125" customWidth="1"/>
    <col min="2" max="2" width="5" bestFit="1" customWidth="1"/>
    <col min="3" max="8" width="3" bestFit="1" customWidth="1"/>
    <col min="9" max="9" width="3" customWidth="1"/>
    <col min="10" max="10" width="12.85546875" bestFit="1" customWidth="1"/>
    <col min="11" max="11" width="14.28515625" bestFit="1" customWidth="1"/>
    <col min="12" max="12" width="14.140625" bestFit="1" customWidth="1"/>
    <col min="13" max="13" width="3.5703125" bestFit="1" customWidth="1"/>
    <col min="14" max="14" width="3" bestFit="1" customWidth="1"/>
    <col min="15" max="34" width="3" customWidth="1"/>
    <col min="35" max="35" width="3" style="1" bestFit="1" customWidth="1"/>
    <col min="36" max="36" width="3" customWidth="1"/>
    <col min="37" max="45" width="2" bestFit="1" customWidth="1"/>
    <col min="46" max="96" width="3" bestFit="1" customWidth="1"/>
  </cols>
  <sheetData>
    <row r="1" spans="2:96" ht="8.1" customHeight="1" x14ac:dyDescent="0.25"/>
    <row r="2" spans="2:96" x14ac:dyDescent="0.25">
      <c r="B2" s="24" t="s">
        <v>0</v>
      </c>
      <c r="C2" s="53" t="s">
        <v>1</v>
      </c>
      <c r="D2" s="53"/>
      <c r="E2" s="53"/>
      <c r="F2" s="53"/>
      <c r="G2" s="53"/>
      <c r="H2" s="53"/>
      <c r="I2" s="3"/>
      <c r="J2" s="24" t="s">
        <v>3</v>
      </c>
      <c r="K2" s="24" t="s">
        <v>6</v>
      </c>
      <c r="L2" s="24" t="s">
        <v>4</v>
      </c>
      <c r="M2" s="24" t="s">
        <v>5</v>
      </c>
      <c r="N2" s="54" t="s">
        <v>2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6"/>
      <c r="AK2" s="21">
        <v>1</v>
      </c>
      <c r="AL2" s="22">
        <v>2</v>
      </c>
      <c r="AM2" s="22">
        <v>3</v>
      </c>
      <c r="AN2" s="22">
        <v>4</v>
      </c>
      <c r="AO2" s="22">
        <v>5</v>
      </c>
      <c r="AP2" s="22">
        <v>6</v>
      </c>
      <c r="AQ2" s="22">
        <v>7</v>
      </c>
      <c r="AR2" s="22">
        <v>8</v>
      </c>
      <c r="AS2" s="22">
        <v>9</v>
      </c>
      <c r="AT2" s="22">
        <v>10</v>
      </c>
      <c r="AU2" s="22">
        <v>11</v>
      </c>
      <c r="AV2" s="22">
        <v>12</v>
      </c>
      <c r="AW2" s="22">
        <v>13</v>
      </c>
      <c r="AX2" s="22">
        <v>14</v>
      </c>
      <c r="AY2" s="22">
        <v>15</v>
      </c>
      <c r="AZ2" s="22">
        <v>16</v>
      </c>
      <c r="BA2" s="22">
        <v>17</v>
      </c>
      <c r="BB2" s="22">
        <v>18</v>
      </c>
      <c r="BC2" s="22">
        <v>19</v>
      </c>
      <c r="BD2" s="22">
        <v>20</v>
      </c>
      <c r="BE2" s="22">
        <v>21</v>
      </c>
      <c r="BF2" s="22">
        <v>22</v>
      </c>
      <c r="BG2" s="22">
        <v>23</v>
      </c>
      <c r="BH2" s="22">
        <v>24</v>
      </c>
      <c r="BI2" s="22">
        <v>25</v>
      </c>
      <c r="BJ2" s="22">
        <v>26</v>
      </c>
      <c r="BK2" s="22">
        <v>27</v>
      </c>
      <c r="BL2" s="22">
        <v>28</v>
      </c>
      <c r="BM2" s="22">
        <v>29</v>
      </c>
      <c r="BN2" s="22">
        <v>30</v>
      </c>
      <c r="BO2" s="22">
        <v>31</v>
      </c>
      <c r="BP2" s="22">
        <v>32</v>
      </c>
      <c r="BQ2" s="22">
        <v>33</v>
      </c>
      <c r="BR2" s="22">
        <v>34</v>
      </c>
      <c r="BS2" s="22">
        <v>35</v>
      </c>
      <c r="BT2" s="22">
        <v>36</v>
      </c>
      <c r="BU2" s="22">
        <v>37</v>
      </c>
      <c r="BV2" s="22">
        <v>38</v>
      </c>
      <c r="BW2" s="22">
        <v>39</v>
      </c>
      <c r="BX2" s="22">
        <v>40</v>
      </c>
      <c r="BY2" s="22">
        <v>41</v>
      </c>
      <c r="BZ2" s="22">
        <v>42</v>
      </c>
      <c r="CA2" s="22">
        <v>43</v>
      </c>
      <c r="CB2" s="22">
        <v>44</v>
      </c>
      <c r="CC2" s="22">
        <v>45</v>
      </c>
      <c r="CD2" s="22">
        <v>46</v>
      </c>
      <c r="CE2" s="22">
        <v>47</v>
      </c>
      <c r="CF2" s="22">
        <v>48</v>
      </c>
      <c r="CG2" s="22">
        <v>49</v>
      </c>
      <c r="CH2" s="22">
        <v>50</v>
      </c>
      <c r="CI2" s="22">
        <v>51</v>
      </c>
      <c r="CJ2" s="22">
        <v>52</v>
      </c>
      <c r="CK2" s="22">
        <v>53</v>
      </c>
      <c r="CL2" s="22">
        <v>54</v>
      </c>
      <c r="CM2" s="22">
        <v>55</v>
      </c>
      <c r="CN2" s="22">
        <v>56</v>
      </c>
      <c r="CO2" s="22">
        <v>57</v>
      </c>
      <c r="CP2" s="22">
        <v>58</v>
      </c>
      <c r="CQ2" s="22">
        <v>59</v>
      </c>
      <c r="CR2" s="23">
        <v>60</v>
      </c>
    </row>
    <row r="3" spans="2:96" x14ac:dyDescent="0.25">
      <c r="B3" s="25">
        <v>2022</v>
      </c>
      <c r="C3" s="45">
        <v>4</v>
      </c>
      <c r="D3" s="46">
        <v>5</v>
      </c>
      <c r="E3" s="46">
        <v>10</v>
      </c>
      <c r="F3" s="46">
        <v>34</v>
      </c>
      <c r="G3" s="46">
        <v>58</v>
      </c>
      <c r="H3" s="47">
        <v>59</v>
      </c>
      <c r="I3" s="1"/>
      <c r="J3" s="28">
        <f>IFERROR(COMBIN(M3,6),0)</f>
        <v>5005</v>
      </c>
      <c r="K3" s="29">
        <f>J3*4.5</f>
        <v>22522.5</v>
      </c>
      <c r="L3" s="30">
        <v>0</v>
      </c>
      <c r="M3" s="31">
        <f>COUNTIF($AK$16:$CR$16,L3)</f>
        <v>15</v>
      </c>
      <c r="N3" s="32" cm="1">
        <f t="array" ref="N3:AB3">_xlfn._xlws.FILTER($AK$2:$CR$2,L3=$AK$16:$CR$16,"")</f>
        <v>7</v>
      </c>
      <c r="O3" s="33">
        <v>8</v>
      </c>
      <c r="P3" s="33">
        <v>9</v>
      </c>
      <c r="Q3" s="33">
        <v>13</v>
      </c>
      <c r="R3" s="33">
        <v>19</v>
      </c>
      <c r="S3" s="33">
        <v>21</v>
      </c>
      <c r="T3" s="33">
        <v>26</v>
      </c>
      <c r="U3" s="33">
        <v>27</v>
      </c>
      <c r="V3" s="33">
        <v>28</v>
      </c>
      <c r="W3" s="33">
        <v>39</v>
      </c>
      <c r="X3" s="33">
        <v>44</v>
      </c>
      <c r="Y3" s="33">
        <v>48</v>
      </c>
      <c r="Z3" s="33">
        <v>49</v>
      </c>
      <c r="AA3" s="33">
        <v>54</v>
      </c>
      <c r="AB3" s="33">
        <v>60</v>
      </c>
      <c r="AC3" s="33"/>
      <c r="AD3" s="33"/>
      <c r="AE3" s="33"/>
      <c r="AF3" s="33"/>
      <c r="AG3" s="33"/>
      <c r="AH3" s="33"/>
      <c r="AI3" s="34"/>
      <c r="AK3" s="6">
        <f>COUNTIF($C3:$H3,AK$2)</f>
        <v>0</v>
      </c>
      <c r="AL3" s="57">
        <f>COUNTIF($C3:$H3,AL$2)</f>
        <v>0</v>
      </c>
      <c r="AM3" s="57">
        <f>COUNTIF($C3:$H3,AM$2)</f>
        <v>0</v>
      </c>
      <c r="AN3" s="57">
        <f>COUNTIF($C3:$H3,AN$2)</f>
        <v>1</v>
      </c>
      <c r="AO3" s="57">
        <f>COUNTIF($C3:$H3,AO$2)</f>
        <v>1</v>
      </c>
      <c r="AP3" s="57">
        <f>COUNTIF($C3:$H3,AP$2)</f>
        <v>0</v>
      </c>
      <c r="AQ3" s="57">
        <f>COUNTIF($C3:$H3,AQ$2)</f>
        <v>0</v>
      </c>
      <c r="AR3" s="57">
        <f>COUNTIF($C3:$H3,AR$2)</f>
        <v>0</v>
      </c>
      <c r="AS3" s="57">
        <f>COUNTIF($C3:$H3,AS$2)</f>
        <v>0</v>
      </c>
      <c r="AT3" s="57">
        <f>COUNTIF($C3:$H3,AT$2)</f>
        <v>1</v>
      </c>
      <c r="AU3" s="57">
        <f>COUNTIF($C3:$H3,AU$2)</f>
        <v>0</v>
      </c>
      <c r="AV3" s="57">
        <f>COUNTIF($C3:$H3,AV$2)</f>
        <v>0</v>
      </c>
      <c r="AW3" s="57">
        <f>COUNTIF($C3:$H3,AW$2)</f>
        <v>0</v>
      </c>
      <c r="AX3" s="57">
        <f>COUNTIF($C3:$H3,AX$2)</f>
        <v>0</v>
      </c>
      <c r="AY3" s="57">
        <f>COUNTIF($C3:$H3,AY$2)</f>
        <v>0</v>
      </c>
      <c r="AZ3" s="57">
        <f>COUNTIF($C3:$H3,AZ$2)</f>
        <v>0</v>
      </c>
      <c r="BA3" s="57">
        <f>COUNTIF($C3:$H3,BA$2)</f>
        <v>0</v>
      </c>
      <c r="BB3" s="57">
        <f>COUNTIF($C3:$H3,BB$2)</f>
        <v>0</v>
      </c>
      <c r="BC3" s="57">
        <f>COUNTIF($C3:$H3,BC$2)</f>
        <v>0</v>
      </c>
      <c r="BD3" s="57">
        <f>COUNTIF($C3:$H3,BD$2)</f>
        <v>0</v>
      </c>
      <c r="BE3" s="57">
        <f>COUNTIF($C3:$H3,BE$2)</f>
        <v>0</v>
      </c>
      <c r="BF3" s="57">
        <f>COUNTIF($C3:$H3,BF$2)</f>
        <v>0</v>
      </c>
      <c r="BG3" s="57">
        <f>COUNTIF($C3:$H3,BG$2)</f>
        <v>0</v>
      </c>
      <c r="BH3" s="57">
        <f>COUNTIF($C3:$H3,BH$2)</f>
        <v>0</v>
      </c>
      <c r="BI3" s="57">
        <f>COUNTIF($C3:$H3,BI$2)</f>
        <v>0</v>
      </c>
      <c r="BJ3" s="57">
        <f>COUNTIF($C3:$H3,BJ$2)</f>
        <v>0</v>
      </c>
      <c r="BK3" s="57">
        <f>COUNTIF($C3:$H3,BK$2)</f>
        <v>0</v>
      </c>
      <c r="BL3" s="57">
        <f>COUNTIF($C3:$H3,BL$2)</f>
        <v>0</v>
      </c>
      <c r="BM3" s="57">
        <f>COUNTIF($C3:$H3,BM$2)</f>
        <v>0</v>
      </c>
      <c r="BN3" s="57">
        <f>COUNTIF($C3:$H3,BN$2)</f>
        <v>0</v>
      </c>
      <c r="BO3" s="57">
        <f>COUNTIF($C3:$H3,BO$2)</f>
        <v>0</v>
      </c>
      <c r="BP3" s="57">
        <f>COUNTIF($C3:$H3,BP$2)</f>
        <v>0</v>
      </c>
      <c r="BQ3" s="57">
        <f>COUNTIF($C3:$H3,BQ$2)</f>
        <v>0</v>
      </c>
      <c r="BR3" s="57">
        <f>COUNTIF($C3:$H3,BR$2)</f>
        <v>1</v>
      </c>
      <c r="BS3" s="57">
        <f>COUNTIF($C3:$H3,BS$2)</f>
        <v>0</v>
      </c>
      <c r="BT3" s="57">
        <f>COUNTIF($C3:$H3,BT$2)</f>
        <v>0</v>
      </c>
      <c r="BU3" s="57">
        <f>COUNTIF($C3:$H3,BU$2)</f>
        <v>0</v>
      </c>
      <c r="BV3" s="57">
        <f>COUNTIF($C3:$H3,BV$2)</f>
        <v>0</v>
      </c>
      <c r="BW3" s="57">
        <f>COUNTIF($C3:$H3,BW$2)</f>
        <v>0</v>
      </c>
      <c r="BX3" s="57">
        <f>COUNTIF($C3:$H3,BX$2)</f>
        <v>0</v>
      </c>
      <c r="BY3" s="57">
        <f>COUNTIF($C3:$H3,BY$2)</f>
        <v>0</v>
      </c>
      <c r="BZ3" s="57">
        <f>COUNTIF($C3:$H3,BZ$2)</f>
        <v>0</v>
      </c>
      <c r="CA3" s="57">
        <f>COUNTIF($C3:$H3,CA$2)</f>
        <v>0</v>
      </c>
      <c r="CB3" s="57">
        <f>COUNTIF($C3:$H3,CB$2)</f>
        <v>0</v>
      </c>
      <c r="CC3" s="57">
        <f>COUNTIF($C3:$H3,CC$2)</f>
        <v>0</v>
      </c>
      <c r="CD3" s="57">
        <f>COUNTIF($C3:$H3,CD$2)</f>
        <v>0</v>
      </c>
      <c r="CE3" s="57">
        <f>COUNTIF($C3:$H3,CE$2)</f>
        <v>0</v>
      </c>
      <c r="CF3" s="57">
        <f>COUNTIF($C3:$H3,CF$2)</f>
        <v>0</v>
      </c>
      <c r="CG3" s="57">
        <f>COUNTIF($C3:$H3,CG$2)</f>
        <v>0</v>
      </c>
      <c r="CH3" s="57">
        <f>COUNTIF($C3:$H3,CH$2)</f>
        <v>0</v>
      </c>
      <c r="CI3" s="57">
        <f>COUNTIF($C3:$H3,CI$2)</f>
        <v>0</v>
      </c>
      <c r="CJ3" s="57">
        <f>COUNTIF($C3:$H3,CJ$2)</f>
        <v>0</v>
      </c>
      <c r="CK3" s="57">
        <f>COUNTIF($C3:$H3,CK$2)</f>
        <v>0</v>
      </c>
      <c r="CL3" s="57">
        <f>COUNTIF($C3:$H3,CL$2)</f>
        <v>0</v>
      </c>
      <c r="CM3" s="57">
        <f>COUNTIF($C3:$H3,CM$2)</f>
        <v>0</v>
      </c>
      <c r="CN3" s="57">
        <f>COUNTIF($C3:$H3,CN$2)</f>
        <v>0</v>
      </c>
      <c r="CO3" s="57">
        <f>COUNTIF($C3:$H3,CO$2)</f>
        <v>0</v>
      </c>
      <c r="CP3" s="57">
        <f>COUNTIF($C3:$H3,CP$2)</f>
        <v>1</v>
      </c>
      <c r="CQ3" s="57">
        <f>COUNTIF($C3:$H3,CQ$2)</f>
        <v>1</v>
      </c>
      <c r="CR3" s="7">
        <f>COUNTIF($C3:$H3,CR$2)</f>
        <v>0</v>
      </c>
    </row>
    <row r="4" spans="2:96" x14ac:dyDescent="0.25">
      <c r="B4" s="26">
        <v>2021</v>
      </c>
      <c r="C4" s="18">
        <v>12</v>
      </c>
      <c r="D4" s="1">
        <v>15</v>
      </c>
      <c r="E4" s="1">
        <v>23</v>
      </c>
      <c r="F4" s="1">
        <v>32</v>
      </c>
      <c r="G4" s="1">
        <v>33</v>
      </c>
      <c r="H4" s="19">
        <v>46</v>
      </c>
      <c r="I4" s="1"/>
      <c r="J4" s="20">
        <f>IFERROR(COMBIN(M4,6),0)</f>
        <v>54264</v>
      </c>
      <c r="K4" s="17">
        <f t="shared" ref="K4:K7" si="0">J4*4.5</f>
        <v>244188</v>
      </c>
      <c r="L4" s="5">
        <v>1</v>
      </c>
      <c r="M4" s="15">
        <f>COUNTIF($AK$16:$CR$16,L4)</f>
        <v>21</v>
      </c>
      <c r="N4" s="13" cm="1">
        <f t="array" ref="N4:AH4">_xlfn._xlws.FILTER($AK$2:$CR$2,L4=$AK$16:$CR$16,"")</f>
        <v>1</v>
      </c>
      <c r="O4">
        <v>6</v>
      </c>
      <c r="P4">
        <v>14</v>
      </c>
      <c r="Q4">
        <v>15</v>
      </c>
      <c r="R4">
        <v>16</v>
      </c>
      <c r="S4">
        <v>23</v>
      </c>
      <c r="T4">
        <v>24</v>
      </c>
      <c r="U4">
        <v>25</v>
      </c>
      <c r="V4">
        <v>29</v>
      </c>
      <c r="W4">
        <v>30</v>
      </c>
      <c r="X4">
        <v>31</v>
      </c>
      <c r="Y4">
        <v>40</v>
      </c>
      <c r="Z4">
        <v>43</v>
      </c>
      <c r="AA4">
        <v>45</v>
      </c>
      <c r="AB4">
        <v>46</v>
      </c>
      <c r="AC4">
        <v>47</v>
      </c>
      <c r="AD4">
        <v>50</v>
      </c>
      <c r="AE4">
        <v>52</v>
      </c>
      <c r="AF4">
        <v>55</v>
      </c>
      <c r="AG4">
        <v>57</v>
      </c>
      <c r="AH4">
        <v>59</v>
      </c>
      <c r="AI4" s="14"/>
      <c r="AK4" s="6">
        <f>COUNTIF($C4:$H4,AK$2)</f>
        <v>0</v>
      </c>
      <c r="AL4" s="57">
        <f>COUNTIF($C4:$H4,AL$2)</f>
        <v>0</v>
      </c>
      <c r="AM4" s="57">
        <f>COUNTIF($C4:$H4,AM$2)</f>
        <v>0</v>
      </c>
      <c r="AN4" s="57">
        <f>COUNTIF($C4:$H4,AN$2)</f>
        <v>0</v>
      </c>
      <c r="AO4" s="57">
        <f>COUNTIF($C4:$H4,AO$2)</f>
        <v>0</v>
      </c>
      <c r="AP4" s="57">
        <f>COUNTIF($C4:$H4,AP$2)</f>
        <v>0</v>
      </c>
      <c r="AQ4" s="57">
        <f>COUNTIF($C4:$H4,AQ$2)</f>
        <v>0</v>
      </c>
      <c r="AR4" s="57">
        <f>COUNTIF($C4:$H4,AR$2)</f>
        <v>0</v>
      </c>
      <c r="AS4" s="57">
        <f>COUNTIF($C4:$H4,AS$2)</f>
        <v>0</v>
      </c>
      <c r="AT4" s="57">
        <f>COUNTIF($C4:$H4,AT$2)</f>
        <v>0</v>
      </c>
      <c r="AU4" s="57">
        <f>COUNTIF($C4:$H4,AU$2)</f>
        <v>0</v>
      </c>
      <c r="AV4" s="57">
        <f>COUNTIF($C4:$H4,AV$2)</f>
        <v>1</v>
      </c>
      <c r="AW4" s="57">
        <f>COUNTIF($C4:$H4,AW$2)</f>
        <v>0</v>
      </c>
      <c r="AX4" s="57">
        <f>COUNTIF($C4:$H4,AX$2)</f>
        <v>0</v>
      </c>
      <c r="AY4" s="57">
        <f>COUNTIF($C4:$H4,AY$2)</f>
        <v>1</v>
      </c>
      <c r="AZ4" s="57">
        <f>COUNTIF($C4:$H4,AZ$2)</f>
        <v>0</v>
      </c>
      <c r="BA4" s="57">
        <f>COUNTIF($C4:$H4,BA$2)</f>
        <v>0</v>
      </c>
      <c r="BB4" s="57">
        <f>COUNTIF($C4:$H4,BB$2)</f>
        <v>0</v>
      </c>
      <c r="BC4" s="57">
        <f>COUNTIF($C4:$H4,BC$2)</f>
        <v>0</v>
      </c>
      <c r="BD4" s="57">
        <f>COUNTIF($C4:$H4,BD$2)</f>
        <v>0</v>
      </c>
      <c r="BE4" s="57">
        <f>COUNTIF($C4:$H4,BE$2)</f>
        <v>0</v>
      </c>
      <c r="BF4" s="57">
        <f>COUNTIF($C4:$H4,BF$2)</f>
        <v>0</v>
      </c>
      <c r="BG4" s="57">
        <f>COUNTIF($C4:$H4,BG$2)</f>
        <v>1</v>
      </c>
      <c r="BH4" s="57">
        <f>COUNTIF($C4:$H4,BH$2)</f>
        <v>0</v>
      </c>
      <c r="BI4" s="57">
        <f>COUNTIF($C4:$H4,BI$2)</f>
        <v>0</v>
      </c>
      <c r="BJ4" s="57">
        <f>COUNTIF($C4:$H4,BJ$2)</f>
        <v>0</v>
      </c>
      <c r="BK4" s="57">
        <f>COUNTIF($C4:$H4,BK$2)</f>
        <v>0</v>
      </c>
      <c r="BL4" s="57">
        <f>COUNTIF($C4:$H4,BL$2)</f>
        <v>0</v>
      </c>
      <c r="BM4" s="57">
        <f>COUNTIF($C4:$H4,BM$2)</f>
        <v>0</v>
      </c>
      <c r="BN4" s="57">
        <f>COUNTIF($C4:$H4,BN$2)</f>
        <v>0</v>
      </c>
      <c r="BO4" s="57">
        <f>COUNTIF($C4:$H4,BO$2)</f>
        <v>0</v>
      </c>
      <c r="BP4" s="57">
        <f>COUNTIF($C4:$H4,BP$2)</f>
        <v>1</v>
      </c>
      <c r="BQ4" s="57">
        <f>COUNTIF($C4:$H4,BQ$2)</f>
        <v>1</v>
      </c>
      <c r="BR4" s="57">
        <f>COUNTIF($C4:$H4,BR$2)</f>
        <v>0</v>
      </c>
      <c r="BS4" s="57">
        <f>COUNTIF($C4:$H4,BS$2)</f>
        <v>0</v>
      </c>
      <c r="BT4" s="57">
        <f>COUNTIF($C4:$H4,BT$2)</f>
        <v>0</v>
      </c>
      <c r="BU4" s="57">
        <f>COUNTIF($C4:$H4,BU$2)</f>
        <v>0</v>
      </c>
      <c r="BV4" s="57">
        <f>COUNTIF($C4:$H4,BV$2)</f>
        <v>0</v>
      </c>
      <c r="BW4" s="57">
        <f>COUNTIF($C4:$H4,BW$2)</f>
        <v>0</v>
      </c>
      <c r="BX4" s="57">
        <f>COUNTIF($C4:$H4,BX$2)</f>
        <v>0</v>
      </c>
      <c r="BY4" s="57">
        <f>COUNTIF($C4:$H4,BY$2)</f>
        <v>0</v>
      </c>
      <c r="BZ4" s="57">
        <f>COUNTIF($C4:$H4,BZ$2)</f>
        <v>0</v>
      </c>
      <c r="CA4" s="57">
        <f>COUNTIF($C4:$H4,CA$2)</f>
        <v>0</v>
      </c>
      <c r="CB4" s="57">
        <f>COUNTIF($C4:$H4,CB$2)</f>
        <v>0</v>
      </c>
      <c r="CC4" s="57">
        <f>COUNTIF($C4:$H4,CC$2)</f>
        <v>0</v>
      </c>
      <c r="CD4" s="57">
        <f>COUNTIF($C4:$H4,CD$2)</f>
        <v>1</v>
      </c>
      <c r="CE4" s="57">
        <f>COUNTIF($C4:$H4,CE$2)</f>
        <v>0</v>
      </c>
      <c r="CF4" s="57">
        <f>COUNTIF($C4:$H4,CF$2)</f>
        <v>0</v>
      </c>
      <c r="CG4" s="57">
        <f>COUNTIF($C4:$H4,CG$2)</f>
        <v>0</v>
      </c>
      <c r="CH4" s="57">
        <f>COUNTIF($C4:$H4,CH$2)</f>
        <v>0</v>
      </c>
      <c r="CI4" s="57">
        <f>COUNTIF($C4:$H4,CI$2)</f>
        <v>0</v>
      </c>
      <c r="CJ4" s="57">
        <f>COUNTIF($C4:$H4,CJ$2)</f>
        <v>0</v>
      </c>
      <c r="CK4" s="57">
        <f>COUNTIF($C4:$H4,CK$2)</f>
        <v>0</v>
      </c>
      <c r="CL4" s="57">
        <f>COUNTIF($C4:$H4,CL$2)</f>
        <v>0</v>
      </c>
      <c r="CM4" s="57">
        <f>COUNTIF($C4:$H4,CM$2)</f>
        <v>0</v>
      </c>
      <c r="CN4" s="57">
        <f>COUNTIF($C4:$H4,CN$2)</f>
        <v>0</v>
      </c>
      <c r="CO4" s="57">
        <f>COUNTIF($C4:$H4,CO$2)</f>
        <v>0</v>
      </c>
      <c r="CP4" s="57">
        <f>COUNTIF($C4:$H4,CP$2)</f>
        <v>0</v>
      </c>
      <c r="CQ4" s="57">
        <f>COUNTIF($C4:$H4,CQ$2)</f>
        <v>0</v>
      </c>
      <c r="CR4" s="7">
        <f>COUNTIF($C4:$H4,CR$2)</f>
        <v>0</v>
      </c>
    </row>
    <row r="5" spans="2:96" x14ac:dyDescent="0.25">
      <c r="B5" s="26">
        <v>2020</v>
      </c>
      <c r="C5" s="18">
        <v>17</v>
      </c>
      <c r="D5" s="1">
        <v>20</v>
      </c>
      <c r="E5" s="1">
        <v>22</v>
      </c>
      <c r="F5" s="1">
        <v>35</v>
      </c>
      <c r="G5" s="1">
        <v>41</v>
      </c>
      <c r="H5" s="19">
        <v>42</v>
      </c>
      <c r="I5" s="1"/>
      <c r="J5" s="28">
        <f>IFERROR(COMBIN(M5,6),0)</f>
        <v>12376</v>
      </c>
      <c r="K5" s="29">
        <f t="shared" si="0"/>
        <v>55692</v>
      </c>
      <c r="L5" s="30">
        <v>2</v>
      </c>
      <c r="M5" s="31">
        <f>COUNTIF($AK$16:$CR$16,L5)</f>
        <v>17</v>
      </c>
      <c r="N5" s="35" cm="1">
        <f t="array" ref="N5:AD5">_xlfn._xlws.FILTER($AK$2:$CR$2,L5=$AK$16:$CR$16,"")</f>
        <v>2</v>
      </c>
      <c r="O5" s="36">
        <v>4</v>
      </c>
      <c r="P5" s="36">
        <v>11</v>
      </c>
      <c r="Q5" s="36">
        <v>12</v>
      </c>
      <c r="R5" s="36">
        <v>17</v>
      </c>
      <c r="S5" s="36">
        <v>18</v>
      </c>
      <c r="T5" s="36">
        <v>22</v>
      </c>
      <c r="U5" s="36">
        <v>32</v>
      </c>
      <c r="V5" s="36">
        <v>35</v>
      </c>
      <c r="W5" s="36">
        <v>37</v>
      </c>
      <c r="X5" s="36">
        <v>38</v>
      </c>
      <c r="Y5" s="36">
        <v>41</v>
      </c>
      <c r="Z5" s="36">
        <v>42</v>
      </c>
      <c r="AA5" s="36">
        <v>51</v>
      </c>
      <c r="AB5" s="36">
        <v>53</v>
      </c>
      <c r="AC5" s="36">
        <v>56</v>
      </c>
      <c r="AD5" s="36">
        <v>58</v>
      </c>
      <c r="AE5" s="36"/>
      <c r="AF5" s="36"/>
      <c r="AG5" s="36"/>
      <c r="AH5" s="36"/>
      <c r="AI5" s="37"/>
      <c r="AK5" s="6">
        <f>COUNTIF($C5:$H5,AK$2)</f>
        <v>0</v>
      </c>
      <c r="AL5" s="57">
        <f>COUNTIF($C5:$H5,AL$2)</f>
        <v>0</v>
      </c>
      <c r="AM5" s="57">
        <f>COUNTIF($C5:$H5,AM$2)</f>
        <v>0</v>
      </c>
      <c r="AN5" s="57">
        <f>COUNTIF($C5:$H5,AN$2)</f>
        <v>0</v>
      </c>
      <c r="AO5" s="57">
        <f>COUNTIF($C5:$H5,AO$2)</f>
        <v>0</v>
      </c>
      <c r="AP5" s="57">
        <f>COUNTIF($C5:$H5,AP$2)</f>
        <v>0</v>
      </c>
      <c r="AQ5" s="57">
        <f>COUNTIF($C5:$H5,AQ$2)</f>
        <v>0</v>
      </c>
      <c r="AR5" s="57">
        <f>COUNTIF($C5:$H5,AR$2)</f>
        <v>0</v>
      </c>
      <c r="AS5" s="57">
        <f>COUNTIF($C5:$H5,AS$2)</f>
        <v>0</v>
      </c>
      <c r="AT5" s="57">
        <f>COUNTIF($C5:$H5,AT$2)</f>
        <v>0</v>
      </c>
      <c r="AU5" s="57">
        <f>COUNTIF($C5:$H5,AU$2)</f>
        <v>0</v>
      </c>
      <c r="AV5" s="57">
        <f>COUNTIF($C5:$H5,AV$2)</f>
        <v>0</v>
      </c>
      <c r="AW5" s="57">
        <f>COUNTIF($C5:$H5,AW$2)</f>
        <v>0</v>
      </c>
      <c r="AX5" s="57">
        <f>COUNTIF($C5:$H5,AX$2)</f>
        <v>0</v>
      </c>
      <c r="AY5" s="57">
        <f>COUNTIF($C5:$H5,AY$2)</f>
        <v>0</v>
      </c>
      <c r="AZ5" s="57">
        <f>COUNTIF($C5:$H5,AZ$2)</f>
        <v>0</v>
      </c>
      <c r="BA5" s="57">
        <f>COUNTIF($C5:$H5,BA$2)</f>
        <v>1</v>
      </c>
      <c r="BB5" s="57">
        <f>COUNTIF($C5:$H5,BB$2)</f>
        <v>0</v>
      </c>
      <c r="BC5" s="57">
        <f>COUNTIF($C5:$H5,BC$2)</f>
        <v>0</v>
      </c>
      <c r="BD5" s="57">
        <f>COUNTIF($C5:$H5,BD$2)</f>
        <v>1</v>
      </c>
      <c r="BE5" s="57">
        <f>COUNTIF($C5:$H5,BE$2)</f>
        <v>0</v>
      </c>
      <c r="BF5" s="57">
        <f>COUNTIF($C5:$H5,BF$2)</f>
        <v>1</v>
      </c>
      <c r="BG5" s="57">
        <f>COUNTIF($C5:$H5,BG$2)</f>
        <v>0</v>
      </c>
      <c r="BH5" s="57">
        <f>COUNTIF($C5:$H5,BH$2)</f>
        <v>0</v>
      </c>
      <c r="BI5" s="57">
        <f>COUNTIF($C5:$H5,BI$2)</f>
        <v>0</v>
      </c>
      <c r="BJ5" s="57">
        <f>COUNTIF($C5:$H5,BJ$2)</f>
        <v>0</v>
      </c>
      <c r="BK5" s="57">
        <f>COUNTIF($C5:$H5,BK$2)</f>
        <v>0</v>
      </c>
      <c r="BL5" s="57">
        <f>COUNTIF($C5:$H5,BL$2)</f>
        <v>0</v>
      </c>
      <c r="BM5" s="57">
        <f>COUNTIF($C5:$H5,BM$2)</f>
        <v>0</v>
      </c>
      <c r="BN5" s="57">
        <f>COUNTIF($C5:$H5,BN$2)</f>
        <v>0</v>
      </c>
      <c r="BO5" s="57">
        <f>COUNTIF($C5:$H5,BO$2)</f>
        <v>0</v>
      </c>
      <c r="BP5" s="57">
        <f>COUNTIF($C5:$H5,BP$2)</f>
        <v>0</v>
      </c>
      <c r="BQ5" s="57">
        <f>COUNTIF($C5:$H5,BQ$2)</f>
        <v>0</v>
      </c>
      <c r="BR5" s="57">
        <f>COUNTIF($C5:$H5,BR$2)</f>
        <v>0</v>
      </c>
      <c r="BS5" s="57">
        <f>COUNTIF($C5:$H5,BS$2)</f>
        <v>1</v>
      </c>
      <c r="BT5" s="57">
        <f>COUNTIF($C5:$H5,BT$2)</f>
        <v>0</v>
      </c>
      <c r="BU5" s="57">
        <f>COUNTIF($C5:$H5,BU$2)</f>
        <v>0</v>
      </c>
      <c r="BV5" s="57">
        <f>COUNTIF($C5:$H5,BV$2)</f>
        <v>0</v>
      </c>
      <c r="BW5" s="57">
        <f>COUNTIF($C5:$H5,BW$2)</f>
        <v>0</v>
      </c>
      <c r="BX5" s="57">
        <f>COUNTIF($C5:$H5,BX$2)</f>
        <v>0</v>
      </c>
      <c r="BY5" s="57">
        <f>COUNTIF($C5:$H5,BY$2)</f>
        <v>1</v>
      </c>
      <c r="BZ5" s="57">
        <f>COUNTIF($C5:$H5,BZ$2)</f>
        <v>1</v>
      </c>
      <c r="CA5" s="57">
        <f>COUNTIF($C5:$H5,CA$2)</f>
        <v>0</v>
      </c>
      <c r="CB5" s="57">
        <f>COUNTIF($C5:$H5,CB$2)</f>
        <v>0</v>
      </c>
      <c r="CC5" s="57">
        <f>COUNTIF($C5:$H5,CC$2)</f>
        <v>0</v>
      </c>
      <c r="CD5" s="57">
        <f>COUNTIF($C5:$H5,CD$2)</f>
        <v>0</v>
      </c>
      <c r="CE5" s="57">
        <f>COUNTIF($C5:$H5,CE$2)</f>
        <v>0</v>
      </c>
      <c r="CF5" s="57">
        <f>COUNTIF($C5:$H5,CF$2)</f>
        <v>0</v>
      </c>
      <c r="CG5" s="57">
        <f>COUNTIF($C5:$H5,CG$2)</f>
        <v>0</v>
      </c>
      <c r="CH5" s="57">
        <f>COUNTIF($C5:$H5,CH$2)</f>
        <v>0</v>
      </c>
      <c r="CI5" s="57">
        <f>COUNTIF($C5:$H5,CI$2)</f>
        <v>0</v>
      </c>
      <c r="CJ5" s="57">
        <f>COUNTIF($C5:$H5,CJ$2)</f>
        <v>0</v>
      </c>
      <c r="CK5" s="57">
        <f>COUNTIF($C5:$H5,CK$2)</f>
        <v>0</v>
      </c>
      <c r="CL5" s="57">
        <f>COUNTIF($C5:$H5,CL$2)</f>
        <v>0</v>
      </c>
      <c r="CM5" s="57">
        <f>COUNTIF($C5:$H5,CM$2)</f>
        <v>0</v>
      </c>
      <c r="CN5" s="57">
        <f>COUNTIF($C5:$H5,CN$2)</f>
        <v>0</v>
      </c>
      <c r="CO5" s="57">
        <f>COUNTIF($C5:$H5,CO$2)</f>
        <v>0</v>
      </c>
      <c r="CP5" s="57">
        <f>COUNTIF($C5:$H5,CP$2)</f>
        <v>0</v>
      </c>
      <c r="CQ5" s="57">
        <f>COUNTIF($C5:$H5,CQ$2)</f>
        <v>0</v>
      </c>
      <c r="CR5" s="7">
        <f>COUNTIF($C5:$H5,CR$2)</f>
        <v>0</v>
      </c>
    </row>
    <row r="6" spans="2:96" x14ac:dyDescent="0.25">
      <c r="B6" s="26">
        <v>2019</v>
      </c>
      <c r="C6" s="42">
        <v>3</v>
      </c>
      <c r="D6" s="43">
        <v>35</v>
      </c>
      <c r="E6" s="43">
        <v>38</v>
      </c>
      <c r="F6" s="43">
        <v>40</v>
      </c>
      <c r="G6" s="43">
        <v>57</v>
      </c>
      <c r="H6" s="44">
        <v>58</v>
      </c>
      <c r="I6" s="1"/>
      <c r="J6" s="20">
        <f>IFERROR(COMBIN(M6,6),0)</f>
        <v>0</v>
      </c>
      <c r="K6" s="17">
        <f t="shared" si="0"/>
        <v>0</v>
      </c>
      <c r="L6" s="5">
        <v>3</v>
      </c>
      <c r="M6" s="15">
        <f>COUNTIF($AK$16:$CR$16,L6)</f>
        <v>5</v>
      </c>
      <c r="N6" s="13" cm="1">
        <f t="array" ref="N6:R6">_xlfn._xlws.FILTER($AK$2:$CR$2,L6=$AK$16:$CR$16,"")</f>
        <v>3</v>
      </c>
      <c r="O6">
        <v>20</v>
      </c>
      <c r="P6">
        <v>33</v>
      </c>
      <c r="Q6">
        <v>34</v>
      </c>
      <c r="R6">
        <v>36</v>
      </c>
      <c r="AI6" s="14"/>
      <c r="AK6" s="6">
        <f>COUNTIF($C6:$H6,AK$2)</f>
        <v>0</v>
      </c>
      <c r="AL6" s="57">
        <f>COUNTIF($C6:$H6,AL$2)</f>
        <v>0</v>
      </c>
      <c r="AM6" s="57">
        <f>COUNTIF($C6:$H6,AM$2)</f>
        <v>1</v>
      </c>
      <c r="AN6" s="57">
        <f>COUNTIF($C6:$H6,AN$2)</f>
        <v>0</v>
      </c>
      <c r="AO6" s="57">
        <f>COUNTIF($C6:$H6,AO$2)</f>
        <v>0</v>
      </c>
      <c r="AP6" s="57">
        <f>COUNTIF($C6:$H6,AP$2)</f>
        <v>0</v>
      </c>
      <c r="AQ6" s="57">
        <f>COUNTIF($C6:$H6,AQ$2)</f>
        <v>0</v>
      </c>
      <c r="AR6" s="57">
        <f>COUNTIF($C6:$H6,AR$2)</f>
        <v>0</v>
      </c>
      <c r="AS6" s="57">
        <f>COUNTIF($C6:$H6,AS$2)</f>
        <v>0</v>
      </c>
      <c r="AT6" s="57">
        <f>COUNTIF($C6:$H6,AT$2)</f>
        <v>0</v>
      </c>
      <c r="AU6" s="57">
        <f>COUNTIF($C6:$H6,AU$2)</f>
        <v>0</v>
      </c>
      <c r="AV6" s="57">
        <f>COUNTIF($C6:$H6,AV$2)</f>
        <v>0</v>
      </c>
      <c r="AW6" s="57">
        <f>COUNTIF($C6:$H6,AW$2)</f>
        <v>0</v>
      </c>
      <c r="AX6" s="57">
        <f>COUNTIF($C6:$H6,AX$2)</f>
        <v>0</v>
      </c>
      <c r="AY6" s="57">
        <f>COUNTIF($C6:$H6,AY$2)</f>
        <v>0</v>
      </c>
      <c r="AZ6" s="57">
        <f>COUNTIF($C6:$H6,AZ$2)</f>
        <v>0</v>
      </c>
      <c r="BA6" s="57">
        <f>COUNTIF($C6:$H6,BA$2)</f>
        <v>0</v>
      </c>
      <c r="BB6" s="57">
        <f>COUNTIF($C6:$H6,BB$2)</f>
        <v>0</v>
      </c>
      <c r="BC6" s="57">
        <f>COUNTIF($C6:$H6,BC$2)</f>
        <v>0</v>
      </c>
      <c r="BD6" s="57">
        <f>COUNTIF($C6:$H6,BD$2)</f>
        <v>0</v>
      </c>
      <c r="BE6" s="57">
        <f>COUNTIF($C6:$H6,BE$2)</f>
        <v>0</v>
      </c>
      <c r="BF6" s="57">
        <f>COUNTIF($C6:$H6,BF$2)</f>
        <v>0</v>
      </c>
      <c r="BG6" s="57">
        <f>COUNTIF($C6:$H6,BG$2)</f>
        <v>0</v>
      </c>
      <c r="BH6" s="57">
        <f>COUNTIF($C6:$H6,BH$2)</f>
        <v>0</v>
      </c>
      <c r="BI6" s="57">
        <f>COUNTIF($C6:$H6,BI$2)</f>
        <v>0</v>
      </c>
      <c r="BJ6" s="57">
        <f>COUNTIF($C6:$H6,BJ$2)</f>
        <v>0</v>
      </c>
      <c r="BK6" s="57">
        <f>COUNTIF($C6:$H6,BK$2)</f>
        <v>0</v>
      </c>
      <c r="BL6" s="57">
        <f>COUNTIF($C6:$H6,BL$2)</f>
        <v>0</v>
      </c>
      <c r="BM6" s="57">
        <f>COUNTIF($C6:$H6,BM$2)</f>
        <v>0</v>
      </c>
      <c r="BN6" s="57">
        <f>COUNTIF($C6:$H6,BN$2)</f>
        <v>0</v>
      </c>
      <c r="BO6" s="57">
        <f>COUNTIF($C6:$H6,BO$2)</f>
        <v>0</v>
      </c>
      <c r="BP6" s="57">
        <f>COUNTIF($C6:$H6,BP$2)</f>
        <v>0</v>
      </c>
      <c r="BQ6" s="57">
        <f>COUNTIF($C6:$H6,BQ$2)</f>
        <v>0</v>
      </c>
      <c r="BR6" s="57">
        <f>COUNTIF($C6:$H6,BR$2)</f>
        <v>0</v>
      </c>
      <c r="BS6" s="57">
        <f>COUNTIF($C6:$H6,BS$2)</f>
        <v>1</v>
      </c>
      <c r="BT6" s="57">
        <f>COUNTIF($C6:$H6,BT$2)</f>
        <v>0</v>
      </c>
      <c r="BU6" s="57">
        <f>COUNTIF($C6:$H6,BU$2)</f>
        <v>0</v>
      </c>
      <c r="BV6" s="57">
        <f>COUNTIF($C6:$H6,BV$2)</f>
        <v>1</v>
      </c>
      <c r="BW6" s="57">
        <f>COUNTIF($C6:$H6,BW$2)</f>
        <v>0</v>
      </c>
      <c r="BX6" s="57">
        <f>COUNTIF($C6:$H6,BX$2)</f>
        <v>1</v>
      </c>
      <c r="BY6" s="57">
        <f>COUNTIF($C6:$H6,BY$2)</f>
        <v>0</v>
      </c>
      <c r="BZ6" s="57">
        <f>COUNTIF($C6:$H6,BZ$2)</f>
        <v>0</v>
      </c>
      <c r="CA6" s="57">
        <f>COUNTIF($C6:$H6,CA$2)</f>
        <v>0</v>
      </c>
      <c r="CB6" s="57">
        <f>COUNTIF($C6:$H6,CB$2)</f>
        <v>0</v>
      </c>
      <c r="CC6" s="57">
        <f>COUNTIF($C6:$H6,CC$2)</f>
        <v>0</v>
      </c>
      <c r="CD6" s="57">
        <f>COUNTIF($C6:$H6,CD$2)</f>
        <v>0</v>
      </c>
      <c r="CE6" s="57">
        <f>COUNTIF($C6:$H6,CE$2)</f>
        <v>0</v>
      </c>
      <c r="CF6" s="57">
        <f>COUNTIF($C6:$H6,CF$2)</f>
        <v>0</v>
      </c>
      <c r="CG6" s="57">
        <f>COUNTIF($C6:$H6,CG$2)</f>
        <v>0</v>
      </c>
      <c r="CH6" s="57">
        <f>COUNTIF($C6:$H6,CH$2)</f>
        <v>0</v>
      </c>
      <c r="CI6" s="57">
        <f>COUNTIF($C6:$H6,CI$2)</f>
        <v>0</v>
      </c>
      <c r="CJ6" s="57">
        <f>COUNTIF($C6:$H6,CJ$2)</f>
        <v>0</v>
      </c>
      <c r="CK6" s="57">
        <f>COUNTIF($C6:$H6,CK$2)</f>
        <v>0</v>
      </c>
      <c r="CL6" s="57">
        <f>COUNTIF($C6:$H6,CL$2)</f>
        <v>0</v>
      </c>
      <c r="CM6" s="57">
        <f>COUNTIF($C6:$H6,CM$2)</f>
        <v>0</v>
      </c>
      <c r="CN6" s="57">
        <f>COUNTIF($C6:$H6,CN$2)</f>
        <v>0</v>
      </c>
      <c r="CO6" s="57">
        <f>COUNTIF($C6:$H6,CO$2)</f>
        <v>1</v>
      </c>
      <c r="CP6" s="57">
        <f>COUNTIF($C6:$H6,CP$2)</f>
        <v>1</v>
      </c>
      <c r="CQ6" s="57">
        <f>COUNTIF($C6:$H6,CQ$2)</f>
        <v>0</v>
      </c>
      <c r="CR6" s="7">
        <f>COUNTIF($C6:$H6,CR$2)</f>
        <v>0</v>
      </c>
    </row>
    <row r="7" spans="2:96" x14ac:dyDescent="0.25">
      <c r="B7" s="26">
        <v>2018</v>
      </c>
      <c r="C7" s="18">
        <v>5</v>
      </c>
      <c r="D7" s="1">
        <v>10</v>
      </c>
      <c r="E7" s="1">
        <v>12</v>
      </c>
      <c r="F7" s="1">
        <v>18</v>
      </c>
      <c r="G7" s="1">
        <v>25</v>
      </c>
      <c r="H7" s="19">
        <v>33</v>
      </c>
      <c r="I7" s="1"/>
      <c r="J7" s="28">
        <f>IFERROR(COMBIN(M7,6),0)</f>
        <v>0</v>
      </c>
      <c r="K7" s="38">
        <f t="shared" si="0"/>
        <v>0</v>
      </c>
      <c r="L7" s="30">
        <v>4</v>
      </c>
      <c r="M7" s="31">
        <f>COUNTIF($AK$16:$CR$16,L7)</f>
        <v>2</v>
      </c>
      <c r="N7" s="39" cm="1">
        <f t="array" ref="N7:O7">_xlfn._xlws.FILTER($AK$2:$CR$2,L7=$AK$16:$CR$16,"")</f>
        <v>5</v>
      </c>
      <c r="O7" s="40">
        <v>10</v>
      </c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1"/>
      <c r="AK7" s="6">
        <f>COUNTIF($C7:$H7,AK$2)</f>
        <v>0</v>
      </c>
      <c r="AL7" s="57">
        <f>COUNTIF($C7:$H7,AL$2)</f>
        <v>0</v>
      </c>
      <c r="AM7" s="57">
        <f>COUNTIF($C7:$H7,AM$2)</f>
        <v>0</v>
      </c>
      <c r="AN7" s="57">
        <f>COUNTIF($C7:$H7,AN$2)</f>
        <v>0</v>
      </c>
      <c r="AO7" s="57">
        <f>COUNTIF($C7:$H7,AO$2)</f>
        <v>1</v>
      </c>
      <c r="AP7" s="57">
        <f>COUNTIF($C7:$H7,AP$2)</f>
        <v>0</v>
      </c>
      <c r="AQ7" s="57">
        <f>COUNTIF($C7:$H7,AQ$2)</f>
        <v>0</v>
      </c>
      <c r="AR7" s="57">
        <f>COUNTIF($C7:$H7,AR$2)</f>
        <v>0</v>
      </c>
      <c r="AS7" s="57">
        <f>COUNTIF($C7:$H7,AS$2)</f>
        <v>0</v>
      </c>
      <c r="AT7" s="57">
        <f>COUNTIF($C7:$H7,AT$2)</f>
        <v>1</v>
      </c>
      <c r="AU7" s="57">
        <f>COUNTIF($C7:$H7,AU$2)</f>
        <v>0</v>
      </c>
      <c r="AV7" s="57">
        <f>COUNTIF($C7:$H7,AV$2)</f>
        <v>1</v>
      </c>
      <c r="AW7" s="57">
        <f>COUNTIF($C7:$H7,AW$2)</f>
        <v>0</v>
      </c>
      <c r="AX7" s="57">
        <f>COUNTIF($C7:$H7,AX$2)</f>
        <v>0</v>
      </c>
      <c r="AY7" s="57">
        <f>COUNTIF($C7:$H7,AY$2)</f>
        <v>0</v>
      </c>
      <c r="AZ7" s="57">
        <f>COUNTIF($C7:$H7,AZ$2)</f>
        <v>0</v>
      </c>
      <c r="BA7" s="57">
        <f>COUNTIF($C7:$H7,BA$2)</f>
        <v>0</v>
      </c>
      <c r="BB7" s="57">
        <f>COUNTIF($C7:$H7,BB$2)</f>
        <v>1</v>
      </c>
      <c r="BC7" s="57">
        <f>COUNTIF($C7:$H7,BC$2)</f>
        <v>0</v>
      </c>
      <c r="BD7" s="57">
        <f>COUNTIF($C7:$H7,BD$2)</f>
        <v>0</v>
      </c>
      <c r="BE7" s="57">
        <f>COUNTIF($C7:$H7,BE$2)</f>
        <v>0</v>
      </c>
      <c r="BF7" s="57">
        <f>COUNTIF($C7:$H7,BF$2)</f>
        <v>0</v>
      </c>
      <c r="BG7" s="57">
        <f>COUNTIF($C7:$H7,BG$2)</f>
        <v>0</v>
      </c>
      <c r="BH7" s="57">
        <f>COUNTIF($C7:$H7,BH$2)</f>
        <v>0</v>
      </c>
      <c r="BI7" s="57">
        <f>COUNTIF($C7:$H7,BI$2)</f>
        <v>1</v>
      </c>
      <c r="BJ7" s="57">
        <f>COUNTIF($C7:$H7,BJ$2)</f>
        <v>0</v>
      </c>
      <c r="BK7" s="57">
        <f>COUNTIF($C7:$H7,BK$2)</f>
        <v>0</v>
      </c>
      <c r="BL7" s="57">
        <f>COUNTIF($C7:$H7,BL$2)</f>
        <v>0</v>
      </c>
      <c r="BM7" s="57">
        <f>COUNTIF($C7:$H7,BM$2)</f>
        <v>0</v>
      </c>
      <c r="BN7" s="57">
        <f>COUNTIF($C7:$H7,BN$2)</f>
        <v>0</v>
      </c>
      <c r="BO7" s="57">
        <f>COUNTIF($C7:$H7,BO$2)</f>
        <v>0</v>
      </c>
      <c r="BP7" s="57">
        <f>COUNTIF($C7:$H7,BP$2)</f>
        <v>0</v>
      </c>
      <c r="BQ7" s="57">
        <f>COUNTIF($C7:$H7,BQ$2)</f>
        <v>1</v>
      </c>
      <c r="BR7" s="57">
        <f>COUNTIF($C7:$H7,BR$2)</f>
        <v>0</v>
      </c>
      <c r="BS7" s="57">
        <f>COUNTIF($C7:$H7,BS$2)</f>
        <v>0</v>
      </c>
      <c r="BT7" s="57">
        <f>COUNTIF($C7:$H7,BT$2)</f>
        <v>0</v>
      </c>
      <c r="BU7" s="57">
        <f>COUNTIF($C7:$H7,BU$2)</f>
        <v>0</v>
      </c>
      <c r="BV7" s="57">
        <f>COUNTIF($C7:$H7,BV$2)</f>
        <v>0</v>
      </c>
      <c r="BW7" s="57">
        <f>COUNTIF($C7:$H7,BW$2)</f>
        <v>0</v>
      </c>
      <c r="BX7" s="57">
        <f>COUNTIF($C7:$H7,BX$2)</f>
        <v>0</v>
      </c>
      <c r="BY7" s="57">
        <f>COUNTIF($C7:$H7,BY$2)</f>
        <v>0</v>
      </c>
      <c r="BZ7" s="57">
        <f>COUNTIF($C7:$H7,BZ$2)</f>
        <v>0</v>
      </c>
      <c r="CA7" s="57">
        <f>COUNTIF($C7:$H7,CA$2)</f>
        <v>0</v>
      </c>
      <c r="CB7" s="57">
        <f>COUNTIF($C7:$H7,CB$2)</f>
        <v>0</v>
      </c>
      <c r="CC7" s="57">
        <f>COUNTIF($C7:$H7,CC$2)</f>
        <v>0</v>
      </c>
      <c r="CD7" s="57">
        <f>COUNTIF($C7:$H7,CD$2)</f>
        <v>0</v>
      </c>
      <c r="CE7" s="57">
        <f>COUNTIF($C7:$H7,CE$2)</f>
        <v>0</v>
      </c>
      <c r="CF7" s="57">
        <f>COUNTIF($C7:$H7,CF$2)</f>
        <v>0</v>
      </c>
      <c r="CG7" s="57">
        <f>COUNTIF($C7:$H7,CG$2)</f>
        <v>0</v>
      </c>
      <c r="CH7" s="57">
        <f>COUNTIF($C7:$H7,CH$2)</f>
        <v>0</v>
      </c>
      <c r="CI7" s="57">
        <f>COUNTIF($C7:$H7,CI$2)</f>
        <v>0</v>
      </c>
      <c r="CJ7" s="57">
        <f>COUNTIF($C7:$H7,CJ$2)</f>
        <v>0</v>
      </c>
      <c r="CK7" s="57">
        <f>COUNTIF($C7:$H7,CK$2)</f>
        <v>0</v>
      </c>
      <c r="CL7" s="57">
        <f>COUNTIF($C7:$H7,CL$2)</f>
        <v>0</v>
      </c>
      <c r="CM7" s="57">
        <f>COUNTIF($C7:$H7,CM$2)</f>
        <v>0</v>
      </c>
      <c r="CN7" s="57">
        <f>COUNTIF($C7:$H7,CN$2)</f>
        <v>0</v>
      </c>
      <c r="CO7" s="57">
        <f>COUNTIF($C7:$H7,CO$2)</f>
        <v>0</v>
      </c>
      <c r="CP7" s="57">
        <f>COUNTIF($C7:$H7,CP$2)</f>
        <v>0</v>
      </c>
      <c r="CQ7" s="57">
        <f>COUNTIF($C7:$H7,CQ$2)</f>
        <v>0</v>
      </c>
      <c r="CR7" s="7">
        <f>COUNTIF($C7:$H7,CR$2)</f>
        <v>0</v>
      </c>
    </row>
    <row r="8" spans="2:96" x14ac:dyDescent="0.25">
      <c r="B8" s="26">
        <v>2017</v>
      </c>
      <c r="C8" s="42">
        <v>3</v>
      </c>
      <c r="D8" s="43">
        <v>6</v>
      </c>
      <c r="E8" s="43">
        <v>10</v>
      </c>
      <c r="F8" s="43">
        <v>17</v>
      </c>
      <c r="G8" s="43">
        <v>34</v>
      </c>
      <c r="H8" s="44">
        <v>37</v>
      </c>
      <c r="I8" s="1"/>
      <c r="J8" s="58"/>
      <c r="K8" s="58"/>
      <c r="L8" s="58"/>
      <c r="M8" s="58"/>
      <c r="N8" s="52">
        <f ca="1">RAND()*RAND()</f>
        <v>0.39427890100754071</v>
      </c>
      <c r="O8" s="52">
        <f t="shared" ref="O8:AI8" ca="1" si="1">RAND()*RAND()</f>
        <v>1.4852319097561276E-2</v>
      </c>
      <c r="P8" s="52">
        <f t="shared" ca="1" si="1"/>
        <v>0.18997440969478668</v>
      </c>
      <c r="Q8" s="52">
        <f t="shared" ca="1" si="1"/>
        <v>0.48854184721639982</v>
      </c>
      <c r="R8" s="52">
        <f t="shared" ca="1" si="1"/>
        <v>4.8387090232132016E-2</v>
      </c>
      <c r="S8" s="52">
        <f t="shared" ca="1" si="1"/>
        <v>0.40764221122162003</v>
      </c>
      <c r="T8" s="52">
        <f t="shared" ca="1" si="1"/>
        <v>0.35758625474941214</v>
      </c>
      <c r="U8" s="52">
        <f t="shared" ca="1" si="1"/>
        <v>0.12627105060047</v>
      </c>
      <c r="V8" s="52">
        <f t="shared" ca="1" si="1"/>
        <v>3.9954419543716098E-2</v>
      </c>
      <c r="W8" s="52">
        <f t="shared" ca="1" si="1"/>
        <v>0.70316201041568782</v>
      </c>
      <c r="X8" s="52">
        <f t="shared" ca="1" si="1"/>
        <v>0.40509364986550067</v>
      </c>
      <c r="Y8" s="52">
        <f t="shared" ca="1" si="1"/>
        <v>0.51710061637842952</v>
      </c>
      <c r="Z8" s="52">
        <f t="shared" ca="1" si="1"/>
        <v>0.69891338057683861</v>
      </c>
      <c r="AA8" s="52">
        <f t="shared" ca="1" si="1"/>
        <v>0.23018089924449275</v>
      </c>
      <c r="AB8" s="52">
        <f t="shared" ca="1" si="1"/>
        <v>0.2411429650723059</v>
      </c>
      <c r="AC8" s="52">
        <f t="shared" ca="1" si="1"/>
        <v>0.53558313164243587</v>
      </c>
      <c r="AD8" s="52">
        <f t="shared" ca="1" si="1"/>
        <v>0.19677991103048342</v>
      </c>
      <c r="AE8" s="52">
        <f t="shared" ca="1" si="1"/>
        <v>0.12663317696434476</v>
      </c>
      <c r="AF8" s="52">
        <f t="shared" ca="1" si="1"/>
        <v>0.33007329665477531</v>
      </c>
      <c r="AG8" s="52">
        <f t="shared" ca="1" si="1"/>
        <v>0.32549498236571872</v>
      </c>
      <c r="AH8" s="52">
        <f t="shared" ca="1" si="1"/>
        <v>0.28696330913526236</v>
      </c>
      <c r="AI8" s="52"/>
      <c r="AK8" s="6">
        <f>COUNTIF($C8:$H8,AK$2)</f>
        <v>0</v>
      </c>
      <c r="AL8" s="57">
        <f>COUNTIF($C8:$H8,AL$2)</f>
        <v>0</v>
      </c>
      <c r="AM8" s="57">
        <f>COUNTIF($C8:$H8,AM$2)</f>
        <v>1</v>
      </c>
      <c r="AN8" s="57">
        <f>COUNTIF($C8:$H8,AN$2)</f>
        <v>0</v>
      </c>
      <c r="AO8" s="57">
        <f>COUNTIF($C8:$H8,AO$2)</f>
        <v>0</v>
      </c>
      <c r="AP8" s="57">
        <f>COUNTIF($C8:$H8,AP$2)</f>
        <v>1</v>
      </c>
      <c r="AQ8" s="57">
        <f>COUNTIF($C8:$H8,AQ$2)</f>
        <v>0</v>
      </c>
      <c r="AR8" s="57">
        <f>COUNTIF($C8:$H8,AR$2)</f>
        <v>0</v>
      </c>
      <c r="AS8" s="57">
        <f>COUNTIF($C8:$H8,AS$2)</f>
        <v>0</v>
      </c>
      <c r="AT8" s="57">
        <f>COUNTIF($C8:$H8,AT$2)</f>
        <v>1</v>
      </c>
      <c r="AU8" s="57">
        <f>COUNTIF($C8:$H8,AU$2)</f>
        <v>0</v>
      </c>
      <c r="AV8" s="57">
        <f>COUNTIF($C8:$H8,AV$2)</f>
        <v>0</v>
      </c>
      <c r="AW8" s="57">
        <f>COUNTIF($C8:$H8,AW$2)</f>
        <v>0</v>
      </c>
      <c r="AX8" s="57">
        <f>COUNTIF($C8:$H8,AX$2)</f>
        <v>0</v>
      </c>
      <c r="AY8" s="57">
        <f>COUNTIF($C8:$H8,AY$2)</f>
        <v>0</v>
      </c>
      <c r="AZ8" s="57">
        <f>COUNTIF($C8:$H8,AZ$2)</f>
        <v>0</v>
      </c>
      <c r="BA8" s="57">
        <f>COUNTIF($C8:$H8,BA$2)</f>
        <v>1</v>
      </c>
      <c r="BB8" s="57">
        <f>COUNTIF($C8:$H8,BB$2)</f>
        <v>0</v>
      </c>
      <c r="BC8" s="57">
        <f>COUNTIF($C8:$H8,BC$2)</f>
        <v>0</v>
      </c>
      <c r="BD8" s="57">
        <f>COUNTIF($C8:$H8,BD$2)</f>
        <v>0</v>
      </c>
      <c r="BE8" s="57">
        <f>COUNTIF($C8:$H8,BE$2)</f>
        <v>0</v>
      </c>
      <c r="BF8" s="57">
        <f>COUNTIF($C8:$H8,BF$2)</f>
        <v>0</v>
      </c>
      <c r="BG8" s="57">
        <f>COUNTIF($C8:$H8,BG$2)</f>
        <v>0</v>
      </c>
      <c r="BH8" s="57">
        <f>COUNTIF($C8:$H8,BH$2)</f>
        <v>0</v>
      </c>
      <c r="BI8" s="57">
        <f>COUNTIF($C8:$H8,BI$2)</f>
        <v>0</v>
      </c>
      <c r="BJ8" s="57">
        <f>COUNTIF($C8:$H8,BJ$2)</f>
        <v>0</v>
      </c>
      <c r="BK8" s="57">
        <f>COUNTIF($C8:$H8,BK$2)</f>
        <v>0</v>
      </c>
      <c r="BL8" s="57">
        <f>COUNTIF($C8:$H8,BL$2)</f>
        <v>0</v>
      </c>
      <c r="BM8" s="57">
        <f>COUNTIF($C8:$H8,BM$2)</f>
        <v>0</v>
      </c>
      <c r="BN8" s="57">
        <f>COUNTIF($C8:$H8,BN$2)</f>
        <v>0</v>
      </c>
      <c r="BO8" s="57">
        <f>COUNTIF($C8:$H8,BO$2)</f>
        <v>0</v>
      </c>
      <c r="BP8" s="57">
        <f>COUNTIF($C8:$H8,BP$2)</f>
        <v>0</v>
      </c>
      <c r="BQ8" s="57">
        <f>COUNTIF($C8:$H8,BQ$2)</f>
        <v>0</v>
      </c>
      <c r="BR8" s="57">
        <f>COUNTIF($C8:$H8,BR$2)</f>
        <v>1</v>
      </c>
      <c r="BS8" s="57">
        <f>COUNTIF($C8:$H8,BS$2)</f>
        <v>0</v>
      </c>
      <c r="BT8" s="57">
        <f>COUNTIF($C8:$H8,BT$2)</f>
        <v>0</v>
      </c>
      <c r="BU8" s="57">
        <f>COUNTIF($C8:$H8,BU$2)</f>
        <v>1</v>
      </c>
      <c r="BV8" s="57">
        <f>COUNTIF($C8:$H8,BV$2)</f>
        <v>0</v>
      </c>
      <c r="BW8" s="57">
        <f>COUNTIF($C8:$H8,BW$2)</f>
        <v>0</v>
      </c>
      <c r="BX8" s="57">
        <f>COUNTIF($C8:$H8,BX$2)</f>
        <v>0</v>
      </c>
      <c r="BY8" s="57">
        <f>COUNTIF($C8:$H8,BY$2)</f>
        <v>0</v>
      </c>
      <c r="BZ8" s="57">
        <f>COUNTIF($C8:$H8,BZ$2)</f>
        <v>0</v>
      </c>
      <c r="CA8" s="57">
        <f>COUNTIF($C8:$H8,CA$2)</f>
        <v>0</v>
      </c>
      <c r="CB8" s="57">
        <f>COUNTIF($C8:$H8,CB$2)</f>
        <v>0</v>
      </c>
      <c r="CC8" s="57">
        <f>COUNTIF($C8:$H8,CC$2)</f>
        <v>0</v>
      </c>
      <c r="CD8" s="57">
        <f>COUNTIF($C8:$H8,CD$2)</f>
        <v>0</v>
      </c>
      <c r="CE8" s="57">
        <f>COUNTIF($C8:$H8,CE$2)</f>
        <v>0</v>
      </c>
      <c r="CF8" s="57">
        <f>COUNTIF($C8:$H8,CF$2)</f>
        <v>0</v>
      </c>
      <c r="CG8" s="57">
        <f>COUNTIF($C8:$H8,CG$2)</f>
        <v>0</v>
      </c>
      <c r="CH8" s="57">
        <f>COUNTIF($C8:$H8,CH$2)</f>
        <v>0</v>
      </c>
      <c r="CI8" s="57">
        <f>COUNTIF($C8:$H8,CI$2)</f>
        <v>0</v>
      </c>
      <c r="CJ8" s="57">
        <f>COUNTIF($C8:$H8,CJ$2)</f>
        <v>0</v>
      </c>
      <c r="CK8" s="57">
        <f>COUNTIF($C8:$H8,CK$2)</f>
        <v>0</v>
      </c>
      <c r="CL8" s="57">
        <f>COUNTIF($C8:$H8,CL$2)</f>
        <v>0</v>
      </c>
      <c r="CM8" s="57">
        <f>COUNTIF($C8:$H8,CM$2)</f>
        <v>0</v>
      </c>
      <c r="CN8" s="57">
        <f>COUNTIF($C8:$H8,CN$2)</f>
        <v>0</v>
      </c>
      <c r="CO8" s="57">
        <f>COUNTIF($C8:$H8,CO$2)</f>
        <v>0</v>
      </c>
      <c r="CP8" s="57">
        <f>COUNTIF($C8:$H8,CP$2)</f>
        <v>0</v>
      </c>
      <c r="CQ8" s="57">
        <f>COUNTIF($C8:$H8,CQ$2)</f>
        <v>0</v>
      </c>
      <c r="CR8" s="7">
        <f>COUNTIF($C8:$H8,CR$2)</f>
        <v>0</v>
      </c>
    </row>
    <row r="9" spans="2:96" x14ac:dyDescent="0.25">
      <c r="B9" s="26">
        <v>2016</v>
      </c>
      <c r="C9" s="18">
        <v>5</v>
      </c>
      <c r="D9" s="1">
        <v>11</v>
      </c>
      <c r="E9" s="1">
        <v>22</v>
      </c>
      <c r="F9" s="1">
        <v>24</v>
      </c>
      <c r="G9" s="1">
        <v>51</v>
      </c>
      <c r="H9" s="19">
        <v>53</v>
      </c>
      <c r="I9" s="1"/>
      <c r="J9" s="58"/>
      <c r="K9" s="58"/>
      <c r="L9" s="58"/>
      <c r="M9" s="58"/>
      <c r="N9" s="52">
        <f ca="1">RANK(N8,$N$8:$AH$8)</f>
        <v>8</v>
      </c>
      <c r="O9" s="52">
        <f t="shared" ref="O9:AH9" ca="1" si="2">RANK(O8,$N$8:$AH$8)</f>
        <v>21</v>
      </c>
      <c r="P9" s="52">
        <f t="shared" ca="1" si="2"/>
        <v>16</v>
      </c>
      <c r="Q9" s="52">
        <f t="shared" ca="1" si="2"/>
        <v>5</v>
      </c>
      <c r="R9" s="52">
        <f t="shared" ca="1" si="2"/>
        <v>19</v>
      </c>
      <c r="S9" s="52">
        <f t="shared" ca="1" si="2"/>
        <v>6</v>
      </c>
      <c r="T9" s="52">
        <f t="shared" ca="1" si="2"/>
        <v>9</v>
      </c>
      <c r="U9" s="52">
        <f t="shared" ca="1" si="2"/>
        <v>18</v>
      </c>
      <c r="V9" s="52">
        <f t="shared" ca="1" si="2"/>
        <v>20</v>
      </c>
      <c r="W9" s="52">
        <f t="shared" ca="1" si="2"/>
        <v>1</v>
      </c>
      <c r="X9" s="52">
        <f t="shared" ca="1" si="2"/>
        <v>7</v>
      </c>
      <c r="Y9" s="52">
        <f t="shared" ca="1" si="2"/>
        <v>4</v>
      </c>
      <c r="Z9" s="52">
        <f t="shared" ca="1" si="2"/>
        <v>2</v>
      </c>
      <c r="AA9" s="52">
        <f t="shared" ca="1" si="2"/>
        <v>14</v>
      </c>
      <c r="AB9" s="52">
        <f ca="1">RANK(AB8,$N$8:$AH$8)</f>
        <v>13</v>
      </c>
      <c r="AC9" s="52">
        <f t="shared" ca="1" si="2"/>
        <v>3</v>
      </c>
      <c r="AD9" s="52">
        <f t="shared" ca="1" si="2"/>
        <v>15</v>
      </c>
      <c r="AE9" s="52">
        <f t="shared" ca="1" si="2"/>
        <v>17</v>
      </c>
      <c r="AF9" s="52">
        <f t="shared" ca="1" si="2"/>
        <v>10</v>
      </c>
      <c r="AG9" s="52">
        <f t="shared" ca="1" si="2"/>
        <v>11</v>
      </c>
      <c r="AH9" s="52">
        <f t="shared" ca="1" si="2"/>
        <v>12</v>
      </c>
      <c r="AI9" s="52"/>
      <c r="AK9" s="6">
        <f>COUNTIF($C9:$H9,AK$2)</f>
        <v>0</v>
      </c>
      <c r="AL9" s="57">
        <f>COUNTIF($C9:$H9,AL$2)</f>
        <v>0</v>
      </c>
      <c r="AM9" s="57">
        <f>COUNTIF($C9:$H9,AM$2)</f>
        <v>0</v>
      </c>
      <c r="AN9" s="57">
        <f>COUNTIF($C9:$H9,AN$2)</f>
        <v>0</v>
      </c>
      <c r="AO9" s="57">
        <f>COUNTIF($C9:$H9,AO$2)</f>
        <v>1</v>
      </c>
      <c r="AP9" s="57">
        <f>COUNTIF($C9:$H9,AP$2)</f>
        <v>0</v>
      </c>
      <c r="AQ9" s="57">
        <f>COUNTIF($C9:$H9,AQ$2)</f>
        <v>0</v>
      </c>
      <c r="AR9" s="57">
        <f>COUNTIF($C9:$H9,AR$2)</f>
        <v>0</v>
      </c>
      <c r="AS9" s="57">
        <f>COUNTIF($C9:$H9,AS$2)</f>
        <v>0</v>
      </c>
      <c r="AT9" s="57">
        <f>COUNTIF($C9:$H9,AT$2)</f>
        <v>0</v>
      </c>
      <c r="AU9" s="57">
        <f>COUNTIF($C9:$H9,AU$2)</f>
        <v>1</v>
      </c>
      <c r="AV9" s="57">
        <f>COUNTIF($C9:$H9,AV$2)</f>
        <v>0</v>
      </c>
      <c r="AW9" s="57">
        <f>COUNTIF($C9:$H9,AW$2)</f>
        <v>0</v>
      </c>
      <c r="AX9" s="57">
        <f>COUNTIF($C9:$H9,AX$2)</f>
        <v>0</v>
      </c>
      <c r="AY9" s="57">
        <f>COUNTIF($C9:$H9,AY$2)</f>
        <v>0</v>
      </c>
      <c r="AZ9" s="57">
        <f>COUNTIF($C9:$H9,AZ$2)</f>
        <v>0</v>
      </c>
      <c r="BA9" s="57">
        <f>COUNTIF($C9:$H9,BA$2)</f>
        <v>0</v>
      </c>
      <c r="BB9" s="57">
        <f>COUNTIF($C9:$H9,BB$2)</f>
        <v>0</v>
      </c>
      <c r="BC9" s="57">
        <f>COUNTIF($C9:$H9,BC$2)</f>
        <v>0</v>
      </c>
      <c r="BD9" s="57">
        <f>COUNTIF($C9:$H9,BD$2)</f>
        <v>0</v>
      </c>
      <c r="BE9" s="57">
        <f>COUNTIF($C9:$H9,BE$2)</f>
        <v>0</v>
      </c>
      <c r="BF9" s="57">
        <f>COUNTIF($C9:$H9,BF$2)</f>
        <v>1</v>
      </c>
      <c r="BG9" s="57">
        <f>COUNTIF($C9:$H9,BG$2)</f>
        <v>0</v>
      </c>
      <c r="BH9" s="57">
        <f>COUNTIF($C9:$H9,BH$2)</f>
        <v>1</v>
      </c>
      <c r="BI9" s="57">
        <f>COUNTIF($C9:$H9,BI$2)</f>
        <v>0</v>
      </c>
      <c r="BJ9" s="57">
        <f>COUNTIF($C9:$H9,BJ$2)</f>
        <v>0</v>
      </c>
      <c r="BK9" s="57">
        <f>COUNTIF($C9:$H9,BK$2)</f>
        <v>0</v>
      </c>
      <c r="BL9" s="57">
        <f>COUNTIF($C9:$H9,BL$2)</f>
        <v>0</v>
      </c>
      <c r="BM9" s="57">
        <f>COUNTIF($C9:$H9,BM$2)</f>
        <v>0</v>
      </c>
      <c r="BN9" s="57">
        <f>COUNTIF($C9:$H9,BN$2)</f>
        <v>0</v>
      </c>
      <c r="BO9" s="57">
        <f>COUNTIF($C9:$H9,BO$2)</f>
        <v>0</v>
      </c>
      <c r="BP9" s="57">
        <f>COUNTIF($C9:$H9,BP$2)</f>
        <v>0</v>
      </c>
      <c r="BQ9" s="57">
        <f>COUNTIF($C9:$H9,BQ$2)</f>
        <v>0</v>
      </c>
      <c r="BR9" s="57">
        <f>COUNTIF($C9:$H9,BR$2)</f>
        <v>0</v>
      </c>
      <c r="BS9" s="57">
        <f>COUNTIF($C9:$H9,BS$2)</f>
        <v>0</v>
      </c>
      <c r="BT9" s="57">
        <f>COUNTIF($C9:$H9,BT$2)</f>
        <v>0</v>
      </c>
      <c r="BU9" s="57">
        <f>COUNTIF($C9:$H9,BU$2)</f>
        <v>0</v>
      </c>
      <c r="BV9" s="57">
        <f>COUNTIF($C9:$H9,BV$2)</f>
        <v>0</v>
      </c>
      <c r="BW9" s="57">
        <f>COUNTIF($C9:$H9,BW$2)</f>
        <v>0</v>
      </c>
      <c r="BX9" s="57">
        <f>COUNTIF($C9:$H9,BX$2)</f>
        <v>0</v>
      </c>
      <c r="BY9" s="57">
        <f>COUNTIF($C9:$H9,BY$2)</f>
        <v>0</v>
      </c>
      <c r="BZ9" s="57">
        <f>COUNTIF($C9:$H9,BZ$2)</f>
        <v>0</v>
      </c>
      <c r="CA9" s="57">
        <f>COUNTIF($C9:$H9,CA$2)</f>
        <v>0</v>
      </c>
      <c r="CB9" s="57">
        <f>COUNTIF($C9:$H9,CB$2)</f>
        <v>0</v>
      </c>
      <c r="CC9" s="57">
        <f>COUNTIF($C9:$H9,CC$2)</f>
        <v>0</v>
      </c>
      <c r="CD9" s="57">
        <f>COUNTIF($C9:$H9,CD$2)</f>
        <v>0</v>
      </c>
      <c r="CE9" s="57">
        <f>COUNTIF($C9:$H9,CE$2)</f>
        <v>0</v>
      </c>
      <c r="CF9" s="57">
        <f>COUNTIF($C9:$H9,CF$2)</f>
        <v>0</v>
      </c>
      <c r="CG9" s="57">
        <f>COUNTIF($C9:$H9,CG$2)</f>
        <v>0</v>
      </c>
      <c r="CH9" s="57">
        <f>COUNTIF($C9:$H9,CH$2)</f>
        <v>0</v>
      </c>
      <c r="CI9" s="57">
        <f>COUNTIF($C9:$H9,CI$2)</f>
        <v>1</v>
      </c>
      <c r="CJ9" s="57">
        <f>COUNTIF($C9:$H9,CJ$2)</f>
        <v>0</v>
      </c>
      <c r="CK9" s="57">
        <f>COUNTIF($C9:$H9,CK$2)</f>
        <v>1</v>
      </c>
      <c r="CL9" s="57">
        <f>COUNTIF($C9:$H9,CL$2)</f>
        <v>0</v>
      </c>
      <c r="CM9" s="57">
        <f>COUNTIF($C9:$H9,CM$2)</f>
        <v>0</v>
      </c>
      <c r="CN9" s="57">
        <f>COUNTIF($C9:$H9,CN$2)</f>
        <v>0</v>
      </c>
      <c r="CO9" s="57">
        <f>COUNTIF($C9:$H9,CO$2)</f>
        <v>0</v>
      </c>
      <c r="CP9" s="57">
        <f>COUNTIF($C9:$H9,CP$2)</f>
        <v>0</v>
      </c>
      <c r="CQ9" s="57">
        <f>COUNTIF($C9:$H9,CQ$2)</f>
        <v>0</v>
      </c>
      <c r="CR9" s="7">
        <f>COUNTIF($C9:$H9,CR$2)</f>
        <v>0</v>
      </c>
    </row>
    <row r="10" spans="2:96" x14ac:dyDescent="0.25">
      <c r="B10" s="26">
        <v>2015</v>
      </c>
      <c r="C10" s="42">
        <v>2</v>
      </c>
      <c r="D10" s="43">
        <v>18</v>
      </c>
      <c r="E10" s="43">
        <v>31</v>
      </c>
      <c r="F10" s="43">
        <v>42</v>
      </c>
      <c r="G10" s="43">
        <v>51</v>
      </c>
      <c r="H10" s="44">
        <v>56</v>
      </c>
      <c r="I10" s="1"/>
      <c r="J10" s="58"/>
      <c r="K10" s="58"/>
      <c r="L10" s="58"/>
      <c r="M10" s="58"/>
      <c r="N10" s="52">
        <f t="shared" ref="N10:AA10" ca="1" si="3">RANK(N8,$N$8:$AB$8)</f>
        <v>7</v>
      </c>
      <c r="O10" s="52">
        <f t="shared" ca="1" si="3"/>
        <v>15</v>
      </c>
      <c r="P10" s="52">
        <f t="shared" ca="1" si="3"/>
        <v>11</v>
      </c>
      <c r="Q10" s="52">
        <f t="shared" ca="1" si="3"/>
        <v>4</v>
      </c>
      <c r="R10" s="52">
        <f t="shared" ca="1" si="3"/>
        <v>13</v>
      </c>
      <c r="S10" s="52">
        <f t="shared" ca="1" si="3"/>
        <v>5</v>
      </c>
      <c r="T10" s="52">
        <f t="shared" ca="1" si="3"/>
        <v>8</v>
      </c>
      <c r="U10" s="52">
        <f t="shared" ca="1" si="3"/>
        <v>12</v>
      </c>
      <c r="V10" s="52">
        <f t="shared" ca="1" si="3"/>
        <v>14</v>
      </c>
      <c r="W10" s="52">
        <f t="shared" ca="1" si="3"/>
        <v>1</v>
      </c>
      <c r="X10" s="52">
        <f t="shared" ca="1" si="3"/>
        <v>6</v>
      </c>
      <c r="Y10" s="52">
        <f t="shared" ca="1" si="3"/>
        <v>3</v>
      </c>
      <c r="Z10" s="52">
        <f t="shared" ca="1" si="3"/>
        <v>2</v>
      </c>
      <c r="AA10" s="52">
        <f t="shared" ca="1" si="3"/>
        <v>10</v>
      </c>
      <c r="AB10" s="52">
        <f ca="1">RANK(AB8,$N$8:$AB$8)</f>
        <v>9</v>
      </c>
      <c r="AC10" s="52"/>
      <c r="AD10" s="52"/>
      <c r="AE10" s="52"/>
      <c r="AF10" s="52"/>
      <c r="AG10" s="52"/>
      <c r="AH10" s="52"/>
      <c r="AI10" s="52"/>
      <c r="AK10" s="6">
        <f>COUNTIF($C10:$H10,AK$2)</f>
        <v>0</v>
      </c>
      <c r="AL10" s="57">
        <f>COUNTIF($C10:$H10,AL$2)</f>
        <v>1</v>
      </c>
      <c r="AM10" s="57">
        <f>COUNTIF($C10:$H10,AM$2)</f>
        <v>0</v>
      </c>
      <c r="AN10" s="57">
        <f>COUNTIF($C10:$H10,AN$2)</f>
        <v>0</v>
      </c>
      <c r="AO10" s="57">
        <f>COUNTIF($C10:$H10,AO$2)</f>
        <v>0</v>
      </c>
      <c r="AP10" s="57">
        <f>COUNTIF($C10:$H10,AP$2)</f>
        <v>0</v>
      </c>
      <c r="AQ10" s="57">
        <f>COUNTIF($C10:$H10,AQ$2)</f>
        <v>0</v>
      </c>
      <c r="AR10" s="57">
        <f>COUNTIF($C10:$H10,AR$2)</f>
        <v>0</v>
      </c>
      <c r="AS10" s="57">
        <f>COUNTIF($C10:$H10,AS$2)</f>
        <v>0</v>
      </c>
      <c r="AT10" s="57">
        <f>COUNTIF($C10:$H10,AT$2)</f>
        <v>0</v>
      </c>
      <c r="AU10" s="57">
        <f>COUNTIF($C10:$H10,AU$2)</f>
        <v>0</v>
      </c>
      <c r="AV10" s="57">
        <f>COUNTIF($C10:$H10,AV$2)</f>
        <v>0</v>
      </c>
      <c r="AW10" s="57">
        <f>COUNTIF($C10:$H10,AW$2)</f>
        <v>0</v>
      </c>
      <c r="AX10" s="57">
        <f>COUNTIF($C10:$H10,AX$2)</f>
        <v>0</v>
      </c>
      <c r="AY10" s="57">
        <f>COUNTIF($C10:$H10,AY$2)</f>
        <v>0</v>
      </c>
      <c r="AZ10" s="57">
        <f>COUNTIF($C10:$H10,AZ$2)</f>
        <v>0</v>
      </c>
      <c r="BA10" s="57">
        <f>COUNTIF($C10:$H10,BA$2)</f>
        <v>0</v>
      </c>
      <c r="BB10" s="57">
        <f>COUNTIF($C10:$H10,BB$2)</f>
        <v>1</v>
      </c>
      <c r="BC10" s="57">
        <f>COUNTIF($C10:$H10,BC$2)</f>
        <v>0</v>
      </c>
      <c r="BD10" s="57">
        <f>COUNTIF($C10:$H10,BD$2)</f>
        <v>0</v>
      </c>
      <c r="BE10" s="57">
        <f>COUNTIF($C10:$H10,BE$2)</f>
        <v>0</v>
      </c>
      <c r="BF10" s="57">
        <f>COUNTIF($C10:$H10,BF$2)</f>
        <v>0</v>
      </c>
      <c r="BG10" s="57">
        <f>COUNTIF($C10:$H10,BG$2)</f>
        <v>0</v>
      </c>
      <c r="BH10" s="57">
        <f>COUNTIF($C10:$H10,BH$2)</f>
        <v>0</v>
      </c>
      <c r="BI10" s="57">
        <f>COUNTIF($C10:$H10,BI$2)</f>
        <v>0</v>
      </c>
      <c r="BJ10" s="57">
        <f>COUNTIF($C10:$H10,BJ$2)</f>
        <v>0</v>
      </c>
      <c r="BK10" s="57">
        <f>COUNTIF($C10:$H10,BK$2)</f>
        <v>0</v>
      </c>
      <c r="BL10" s="57">
        <f>COUNTIF($C10:$H10,BL$2)</f>
        <v>0</v>
      </c>
      <c r="BM10" s="57">
        <f>COUNTIF($C10:$H10,BM$2)</f>
        <v>0</v>
      </c>
      <c r="BN10" s="57">
        <f>COUNTIF($C10:$H10,BN$2)</f>
        <v>0</v>
      </c>
      <c r="BO10" s="57">
        <f>COUNTIF($C10:$H10,BO$2)</f>
        <v>1</v>
      </c>
      <c r="BP10" s="57">
        <f>COUNTIF($C10:$H10,BP$2)</f>
        <v>0</v>
      </c>
      <c r="BQ10" s="57">
        <f>COUNTIF($C10:$H10,BQ$2)</f>
        <v>0</v>
      </c>
      <c r="BR10" s="57">
        <f>COUNTIF($C10:$H10,BR$2)</f>
        <v>0</v>
      </c>
      <c r="BS10" s="57">
        <f>COUNTIF($C10:$H10,BS$2)</f>
        <v>0</v>
      </c>
      <c r="BT10" s="57">
        <f>COUNTIF($C10:$H10,BT$2)</f>
        <v>0</v>
      </c>
      <c r="BU10" s="57">
        <f>COUNTIF($C10:$H10,BU$2)</f>
        <v>0</v>
      </c>
      <c r="BV10" s="57">
        <f>COUNTIF($C10:$H10,BV$2)</f>
        <v>0</v>
      </c>
      <c r="BW10" s="57">
        <f>COUNTIF($C10:$H10,BW$2)</f>
        <v>0</v>
      </c>
      <c r="BX10" s="57">
        <f>COUNTIF($C10:$H10,BX$2)</f>
        <v>0</v>
      </c>
      <c r="BY10" s="57">
        <f>COUNTIF($C10:$H10,BY$2)</f>
        <v>0</v>
      </c>
      <c r="BZ10" s="57">
        <f>COUNTIF($C10:$H10,BZ$2)</f>
        <v>1</v>
      </c>
      <c r="CA10" s="57">
        <f>COUNTIF($C10:$H10,CA$2)</f>
        <v>0</v>
      </c>
      <c r="CB10" s="57">
        <f>COUNTIF($C10:$H10,CB$2)</f>
        <v>0</v>
      </c>
      <c r="CC10" s="57">
        <f>COUNTIF($C10:$H10,CC$2)</f>
        <v>0</v>
      </c>
      <c r="CD10" s="57">
        <f>COUNTIF($C10:$H10,CD$2)</f>
        <v>0</v>
      </c>
      <c r="CE10" s="57">
        <f>COUNTIF($C10:$H10,CE$2)</f>
        <v>0</v>
      </c>
      <c r="CF10" s="57">
        <f>COUNTIF($C10:$H10,CF$2)</f>
        <v>0</v>
      </c>
      <c r="CG10" s="57">
        <f>COUNTIF($C10:$H10,CG$2)</f>
        <v>0</v>
      </c>
      <c r="CH10" s="57">
        <f>COUNTIF($C10:$H10,CH$2)</f>
        <v>0</v>
      </c>
      <c r="CI10" s="57">
        <f>COUNTIF($C10:$H10,CI$2)</f>
        <v>1</v>
      </c>
      <c r="CJ10" s="57">
        <f>COUNTIF($C10:$H10,CJ$2)</f>
        <v>0</v>
      </c>
      <c r="CK10" s="57">
        <f>COUNTIF($C10:$H10,CK$2)</f>
        <v>0</v>
      </c>
      <c r="CL10" s="57">
        <f>COUNTIF($C10:$H10,CL$2)</f>
        <v>0</v>
      </c>
      <c r="CM10" s="57">
        <f>COUNTIF($C10:$H10,CM$2)</f>
        <v>0</v>
      </c>
      <c r="CN10" s="57">
        <f>COUNTIF($C10:$H10,CN$2)</f>
        <v>1</v>
      </c>
      <c r="CO10" s="57">
        <f>COUNTIF($C10:$H10,CO$2)</f>
        <v>0</v>
      </c>
      <c r="CP10" s="57">
        <f>COUNTIF($C10:$H10,CP$2)</f>
        <v>0</v>
      </c>
      <c r="CQ10" s="57">
        <f>COUNTIF($C10:$H10,CQ$2)</f>
        <v>0</v>
      </c>
      <c r="CR10" s="7">
        <f>COUNTIF($C10:$H10,CR$2)</f>
        <v>0</v>
      </c>
    </row>
    <row r="11" spans="2:96" x14ac:dyDescent="0.25">
      <c r="B11" s="26">
        <v>2014</v>
      </c>
      <c r="C11" s="18">
        <v>1</v>
      </c>
      <c r="D11" s="1">
        <v>5</v>
      </c>
      <c r="E11" s="1">
        <v>11</v>
      </c>
      <c r="F11" s="1">
        <v>16</v>
      </c>
      <c r="G11" s="1">
        <v>20</v>
      </c>
      <c r="H11" s="19">
        <v>56</v>
      </c>
      <c r="I11" s="1"/>
      <c r="J11" s="58"/>
      <c r="K11" s="58"/>
      <c r="L11" s="58"/>
      <c r="M11" s="58"/>
      <c r="N11" s="52">
        <f ca="1">RAND()*RAND()</f>
        <v>0.2199980055071549</v>
      </c>
      <c r="O11" s="52">
        <f t="shared" ref="O11:AD11" ca="1" si="4">RAND()*RAND()</f>
        <v>1.9479750647024018E-2</v>
      </c>
      <c r="P11" s="52">
        <f t="shared" ca="1" si="4"/>
        <v>0.13177891184735913</v>
      </c>
      <c r="Q11" s="52">
        <f t="shared" ca="1" si="4"/>
        <v>2.3216619292156404E-2</v>
      </c>
      <c r="R11" s="52">
        <f t="shared" ca="1" si="4"/>
        <v>0.12145809554565103</v>
      </c>
      <c r="S11" s="52">
        <f t="shared" ca="1" si="4"/>
        <v>1.9838377021532724E-2</v>
      </c>
      <c r="T11" s="52">
        <f t="shared" ca="1" si="4"/>
        <v>0.29618572983237429</v>
      </c>
      <c r="U11" s="52">
        <f t="shared" ca="1" si="4"/>
        <v>0.38721131733291492</v>
      </c>
      <c r="V11" s="52">
        <f t="shared" ca="1" si="4"/>
        <v>5.5959084142916019E-2</v>
      </c>
      <c r="W11" s="52">
        <f t="shared" ca="1" si="4"/>
        <v>0.69742394285819764</v>
      </c>
      <c r="X11" s="52">
        <f t="shared" ca="1" si="4"/>
        <v>5.6204574506066533E-3</v>
      </c>
      <c r="Y11" s="52">
        <f t="shared" ca="1" si="4"/>
        <v>9.2442526429507274E-2</v>
      </c>
      <c r="Z11" s="52">
        <f t="shared" ca="1" si="4"/>
        <v>0.7755686444111608</v>
      </c>
      <c r="AA11" s="52">
        <f t="shared" ca="1" si="4"/>
        <v>0.24742102517053349</v>
      </c>
      <c r="AB11" s="52">
        <f t="shared" ca="1" si="4"/>
        <v>3.0382474451996992E-2</v>
      </c>
      <c r="AC11" s="52">
        <f t="shared" ca="1" si="4"/>
        <v>0.35776505420241056</v>
      </c>
      <c r="AD11" s="52">
        <f t="shared" ca="1" si="4"/>
        <v>0.24264544368016597</v>
      </c>
      <c r="AE11" s="52"/>
      <c r="AF11" s="52"/>
      <c r="AG11" s="52"/>
      <c r="AH11" s="52"/>
      <c r="AI11" s="52"/>
      <c r="AK11" s="6">
        <f>COUNTIF($C11:$H11,AK$2)</f>
        <v>1</v>
      </c>
      <c r="AL11" s="57">
        <f>COUNTIF($C11:$H11,AL$2)</f>
        <v>0</v>
      </c>
      <c r="AM11" s="57">
        <f>COUNTIF($C11:$H11,AM$2)</f>
        <v>0</v>
      </c>
      <c r="AN11" s="57">
        <f>COUNTIF($C11:$H11,AN$2)</f>
        <v>0</v>
      </c>
      <c r="AO11" s="57">
        <f>COUNTIF($C11:$H11,AO$2)</f>
        <v>1</v>
      </c>
      <c r="AP11" s="57">
        <f>COUNTIF($C11:$H11,AP$2)</f>
        <v>0</v>
      </c>
      <c r="AQ11" s="57">
        <f>COUNTIF($C11:$H11,AQ$2)</f>
        <v>0</v>
      </c>
      <c r="AR11" s="57">
        <f>COUNTIF($C11:$H11,AR$2)</f>
        <v>0</v>
      </c>
      <c r="AS11" s="57">
        <f>COUNTIF($C11:$H11,AS$2)</f>
        <v>0</v>
      </c>
      <c r="AT11" s="57">
        <f>COUNTIF($C11:$H11,AT$2)</f>
        <v>0</v>
      </c>
      <c r="AU11" s="57">
        <f>COUNTIF($C11:$H11,AU$2)</f>
        <v>1</v>
      </c>
      <c r="AV11" s="57">
        <f>COUNTIF($C11:$H11,AV$2)</f>
        <v>0</v>
      </c>
      <c r="AW11" s="57">
        <f>COUNTIF($C11:$H11,AW$2)</f>
        <v>0</v>
      </c>
      <c r="AX11" s="57">
        <f>COUNTIF($C11:$H11,AX$2)</f>
        <v>0</v>
      </c>
      <c r="AY11" s="57">
        <f>COUNTIF($C11:$H11,AY$2)</f>
        <v>0</v>
      </c>
      <c r="AZ11" s="57">
        <f>COUNTIF($C11:$H11,AZ$2)</f>
        <v>1</v>
      </c>
      <c r="BA11" s="57">
        <f>COUNTIF($C11:$H11,BA$2)</f>
        <v>0</v>
      </c>
      <c r="BB11" s="57">
        <f>COUNTIF($C11:$H11,BB$2)</f>
        <v>0</v>
      </c>
      <c r="BC11" s="57">
        <f>COUNTIF($C11:$H11,BC$2)</f>
        <v>0</v>
      </c>
      <c r="BD11" s="57">
        <f>COUNTIF($C11:$H11,BD$2)</f>
        <v>1</v>
      </c>
      <c r="BE11" s="57">
        <f>COUNTIF($C11:$H11,BE$2)</f>
        <v>0</v>
      </c>
      <c r="BF11" s="57">
        <f>COUNTIF($C11:$H11,BF$2)</f>
        <v>0</v>
      </c>
      <c r="BG11" s="57">
        <f>COUNTIF($C11:$H11,BG$2)</f>
        <v>0</v>
      </c>
      <c r="BH11" s="57">
        <f>COUNTIF($C11:$H11,BH$2)</f>
        <v>0</v>
      </c>
      <c r="BI11" s="57">
        <f>COUNTIF($C11:$H11,BI$2)</f>
        <v>0</v>
      </c>
      <c r="BJ11" s="57">
        <f>COUNTIF($C11:$H11,BJ$2)</f>
        <v>0</v>
      </c>
      <c r="BK11" s="57">
        <f>COUNTIF($C11:$H11,BK$2)</f>
        <v>0</v>
      </c>
      <c r="BL11" s="57">
        <f>COUNTIF($C11:$H11,BL$2)</f>
        <v>0</v>
      </c>
      <c r="BM11" s="57">
        <f>COUNTIF($C11:$H11,BM$2)</f>
        <v>0</v>
      </c>
      <c r="BN11" s="57">
        <f>COUNTIF($C11:$H11,BN$2)</f>
        <v>0</v>
      </c>
      <c r="BO11" s="57">
        <f>COUNTIF($C11:$H11,BO$2)</f>
        <v>0</v>
      </c>
      <c r="BP11" s="57">
        <f>COUNTIF($C11:$H11,BP$2)</f>
        <v>0</v>
      </c>
      <c r="BQ11" s="57">
        <f>COUNTIF($C11:$H11,BQ$2)</f>
        <v>0</v>
      </c>
      <c r="BR11" s="57">
        <f>COUNTIF($C11:$H11,BR$2)</f>
        <v>0</v>
      </c>
      <c r="BS11" s="57">
        <f>COUNTIF($C11:$H11,BS$2)</f>
        <v>0</v>
      </c>
      <c r="BT11" s="57">
        <f>COUNTIF($C11:$H11,BT$2)</f>
        <v>0</v>
      </c>
      <c r="BU11" s="57">
        <f>COUNTIF($C11:$H11,BU$2)</f>
        <v>0</v>
      </c>
      <c r="BV11" s="57">
        <f>COUNTIF($C11:$H11,BV$2)</f>
        <v>0</v>
      </c>
      <c r="BW11" s="57">
        <f>COUNTIF($C11:$H11,BW$2)</f>
        <v>0</v>
      </c>
      <c r="BX11" s="57">
        <f>COUNTIF($C11:$H11,BX$2)</f>
        <v>0</v>
      </c>
      <c r="BY11" s="57">
        <f>COUNTIF($C11:$H11,BY$2)</f>
        <v>0</v>
      </c>
      <c r="BZ11" s="57">
        <f>COUNTIF($C11:$H11,BZ$2)</f>
        <v>0</v>
      </c>
      <c r="CA11" s="57">
        <f>COUNTIF($C11:$H11,CA$2)</f>
        <v>0</v>
      </c>
      <c r="CB11" s="57">
        <f>COUNTIF($C11:$H11,CB$2)</f>
        <v>0</v>
      </c>
      <c r="CC11" s="57">
        <f>COUNTIF($C11:$H11,CC$2)</f>
        <v>0</v>
      </c>
      <c r="CD11" s="57">
        <f>COUNTIF($C11:$H11,CD$2)</f>
        <v>0</v>
      </c>
      <c r="CE11" s="57">
        <f>COUNTIF($C11:$H11,CE$2)</f>
        <v>0</v>
      </c>
      <c r="CF11" s="57">
        <f>COUNTIF($C11:$H11,CF$2)</f>
        <v>0</v>
      </c>
      <c r="CG11" s="57">
        <f>COUNTIF($C11:$H11,CG$2)</f>
        <v>0</v>
      </c>
      <c r="CH11" s="57">
        <f>COUNTIF($C11:$H11,CH$2)</f>
        <v>0</v>
      </c>
      <c r="CI11" s="57">
        <f>COUNTIF($C11:$H11,CI$2)</f>
        <v>0</v>
      </c>
      <c r="CJ11" s="57">
        <f>COUNTIF($C11:$H11,CJ$2)</f>
        <v>0</v>
      </c>
      <c r="CK11" s="57">
        <f>COUNTIF($C11:$H11,CK$2)</f>
        <v>0</v>
      </c>
      <c r="CL11" s="57">
        <f>COUNTIF($C11:$H11,CL$2)</f>
        <v>0</v>
      </c>
      <c r="CM11" s="57">
        <f>COUNTIF($C11:$H11,CM$2)</f>
        <v>0</v>
      </c>
      <c r="CN11" s="57">
        <f>COUNTIF($C11:$H11,CN$2)</f>
        <v>1</v>
      </c>
      <c r="CO11" s="57">
        <f>COUNTIF($C11:$H11,CO$2)</f>
        <v>0</v>
      </c>
      <c r="CP11" s="57">
        <f>COUNTIF($C11:$H11,CP$2)</f>
        <v>0</v>
      </c>
      <c r="CQ11" s="57">
        <f>COUNTIF($C11:$H11,CQ$2)</f>
        <v>0</v>
      </c>
      <c r="CR11" s="7">
        <f>COUNTIF($C11:$H11,CR$2)</f>
        <v>0</v>
      </c>
    </row>
    <row r="12" spans="2:96" x14ac:dyDescent="0.25">
      <c r="B12" s="26">
        <v>2013</v>
      </c>
      <c r="C12" s="42">
        <v>20</v>
      </c>
      <c r="D12" s="43">
        <v>30</v>
      </c>
      <c r="E12" s="43">
        <v>36</v>
      </c>
      <c r="F12" s="43">
        <v>38</v>
      </c>
      <c r="G12" s="43">
        <v>47</v>
      </c>
      <c r="H12" s="44">
        <v>53</v>
      </c>
      <c r="I12" s="1"/>
      <c r="J12" s="58"/>
      <c r="K12" s="58"/>
      <c r="L12" s="58"/>
      <c r="M12" s="58"/>
      <c r="N12" s="52">
        <f ca="1">RANK(N11,$N$11:$AC$11)</f>
        <v>7</v>
      </c>
      <c r="O12" s="52">
        <f t="shared" ref="O12:AD12" ca="1" si="5">RANK(O11,$N$11:$AC$11)</f>
        <v>15</v>
      </c>
      <c r="P12" s="52">
        <f t="shared" ca="1" si="5"/>
        <v>8</v>
      </c>
      <c r="Q12" s="52">
        <f t="shared" ca="1" si="5"/>
        <v>13</v>
      </c>
      <c r="R12" s="52">
        <f t="shared" ca="1" si="5"/>
        <v>9</v>
      </c>
      <c r="S12" s="52">
        <f t="shared" ca="1" si="5"/>
        <v>14</v>
      </c>
      <c r="T12" s="52">
        <f t="shared" ca="1" si="5"/>
        <v>5</v>
      </c>
      <c r="U12" s="52">
        <f t="shared" ca="1" si="5"/>
        <v>3</v>
      </c>
      <c r="V12" s="52">
        <f t="shared" ca="1" si="5"/>
        <v>11</v>
      </c>
      <c r="W12" s="52">
        <f t="shared" ca="1" si="5"/>
        <v>2</v>
      </c>
      <c r="X12" s="52">
        <f t="shared" ca="1" si="5"/>
        <v>16</v>
      </c>
      <c r="Y12" s="52">
        <f t="shared" ca="1" si="5"/>
        <v>10</v>
      </c>
      <c r="Z12" s="52">
        <f t="shared" ca="1" si="5"/>
        <v>1</v>
      </c>
      <c r="AA12" s="52">
        <f t="shared" ca="1" si="5"/>
        <v>6</v>
      </c>
      <c r="AB12" s="52">
        <f t="shared" ca="1" si="5"/>
        <v>12</v>
      </c>
      <c r="AC12" s="52">
        <f t="shared" ca="1" si="5"/>
        <v>4</v>
      </c>
      <c r="AD12" s="52">
        <f ca="1">RANK(AD11,$N$11:$AD$11)</f>
        <v>7</v>
      </c>
      <c r="AE12" s="52"/>
      <c r="AF12" s="52"/>
      <c r="AG12" s="52"/>
      <c r="AH12" s="52"/>
      <c r="AI12" s="52"/>
      <c r="AK12" s="6">
        <f>COUNTIF($C12:$H12,AK$2)</f>
        <v>0</v>
      </c>
      <c r="AL12" s="57">
        <f>COUNTIF($C12:$H12,AL$2)</f>
        <v>0</v>
      </c>
      <c r="AM12" s="57">
        <f>COUNTIF($C12:$H12,AM$2)</f>
        <v>0</v>
      </c>
      <c r="AN12" s="57">
        <f>COUNTIF($C12:$H12,AN$2)</f>
        <v>0</v>
      </c>
      <c r="AO12" s="57">
        <f>COUNTIF($C12:$H12,AO$2)</f>
        <v>0</v>
      </c>
      <c r="AP12" s="57">
        <f>COUNTIF($C12:$H12,AP$2)</f>
        <v>0</v>
      </c>
      <c r="AQ12" s="57">
        <f>COUNTIF($C12:$H12,AQ$2)</f>
        <v>0</v>
      </c>
      <c r="AR12" s="57">
        <f>COUNTIF($C12:$H12,AR$2)</f>
        <v>0</v>
      </c>
      <c r="AS12" s="57">
        <f>COUNTIF($C12:$H12,AS$2)</f>
        <v>0</v>
      </c>
      <c r="AT12" s="57">
        <f>COUNTIF($C12:$H12,AT$2)</f>
        <v>0</v>
      </c>
      <c r="AU12" s="57">
        <f>COUNTIF($C12:$H12,AU$2)</f>
        <v>0</v>
      </c>
      <c r="AV12" s="57">
        <f>COUNTIF($C12:$H12,AV$2)</f>
        <v>0</v>
      </c>
      <c r="AW12" s="57">
        <f>COUNTIF($C12:$H12,AW$2)</f>
        <v>0</v>
      </c>
      <c r="AX12" s="57">
        <f>COUNTIF($C12:$H12,AX$2)</f>
        <v>0</v>
      </c>
      <c r="AY12" s="57">
        <f>COUNTIF($C12:$H12,AY$2)</f>
        <v>0</v>
      </c>
      <c r="AZ12" s="57">
        <f>COUNTIF($C12:$H12,AZ$2)</f>
        <v>0</v>
      </c>
      <c r="BA12" s="57">
        <f>COUNTIF($C12:$H12,BA$2)</f>
        <v>0</v>
      </c>
      <c r="BB12" s="57">
        <f>COUNTIF($C12:$H12,BB$2)</f>
        <v>0</v>
      </c>
      <c r="BC12" s="57">
        <f>COUNTIF($C12:$H12,BC$2)</f>
        <v>0</v>
      </c>
      <c r="BD12" s="57">
        <f>COUNTIF($C12:$H12,BD$2)</f>
        <v>1</v>
      </c>
      <c r="BE12" s="57">
        <f>COUNTIF($C12:$H12,BE$2)</f>
        <v>0</v>
      </c>
      <c r="BF12" s="57">
        <f>COUNTIF($C12:$H12,BF$2)</f>
        <v>0</v>
      </c>
      <c r="BG12" s="57">
        <f>COUNTIF($C12:$H12,BG$2)</f>
        <v>0</v>
      </c>
      <c r="BH12" s="57">
        <f>COUNTIF($C12:$H12,BH$2)</f>
        <v>0</v>
      </c>
      <c r="BI12" s="57">
        <f>COUNTIF($C12:$H12,BI$2)</f>
        <v>0</v>
      </c>
      <c r="BJ12" s="57">
        <f>COUNTIF($C12:$H12,BJ$2)</f>
        <v>0</v>
      </c>
      <c r="BK12" s="57">
        <f>COUNTIF($C12:$H12,BK$2)</f>
        <v>0</v>
      </c>
      <c r="BL12" s="57">
        <f>COUNTIF($C12:$H12,BL$2)</f>
        <v>0</v>
      </c>
      <c r="BM12" s="57">
        <f>COUNTIF($C12:$H12,BM$2)</f>
        <v>0</v>
      </c>
      <c r="BN12" s="57">
        <f>COUNTIF($C12:$H12,BN$2)</f>
        <v>1</v>
      </c>
      <c r="BO12" s="57">
        <f>COUNTIF($C12:$H12,BO$2)</f>
        <v>0</v>
      </c>
      <c r="BP12" s="57">
        <f>COUNTIF($C12:$H12,BP$2)</f>
        <v>0</v>
      </c>
      <c r="BQ12" s="57">
        <f>COUNTIF($C12:$H12,BQ$2)</f>
        <v>0</v>
      </c>
      <c r="BR12" s="57">
        <f>COUNTIF($C12:$H12,BR$2)</f>
        <v>0</v>
      </c>
      <c r="BS12" s="57">
        <f>COUNTIF($C12:$H12,BS$2)</f>
        <v>0</v>
      </c>
      <c r="BT12" s="57">
        <f>COUNTIF($C12:$H12,BT$2)</f>
        <v>1</v>
      </c>
      <c r="BU12" s="57">
        <f>COUNTIF($C12:$H12,BU$2)</f>
        <v>0</v>
      </c>
      <c r="BV12" s="57">
        <f>COUNTIF($C12:$H12,BV$2)</f>
        <v>1</v>
      </c>
      <c r="BW12" s="57">
        <f>COUNTIF($C12:$H12,BW$2)</f>
        <v>0</v>
      </c>
      <c r="BX12" s="57">
        <f>COUNTIF($C12:$H12,BX$2)</f>
        <v>0</v>
      </c>
      <c r="BY12" s="57">
        <f>COUNTIF($C12:$H12,BY$2)</f>
        <v>0</v>
      </c>
      <c r="BZ12" s="57">
        <f>COUNTIF($C12:$H12,BZ$2)</f>
        <v>0</v>
      </c>
      <c r="CA12" s="57">
        <f>COUNTIF($C12:$H12,CA$2)</f>
        <v>0</v>
      </c>
      <c r="CB12" s="57">
        <f>COUNTIF($C12:$H12,CB$2)</f>
        <v>0</v>
      </c>
      <c r="CC12" s="57">
        <f>COUNTIF($C12:$H12,CC$2)</f>
        <v>0</v>
      </c>
      <c r="CD12" s="57">
        <f>COUNTIF($C12:$H12,CD$2)</f>
        <v>0</v>
      </c>
      <c r="CE12" s="57">
        <f>COUNTIF($C12:$H12,CE$2)</f>
        <v>1</v>
      </c>
      <c r="CF12" s="57">
        <f>COUNTIF($C12:$H12,CF$2)</f>
        <v>0</v>
      </c>
      <c r="CG12" s="57">
        <f>COUNTIF($C12:$H12,CG$2)</f>
        <v>0</v>
      </c>
      <c r="CH12" s="57">
        <f>COUNTIF($C12:$H12,CH$2)</f>
        <v>0</v>
      </c>
      <c r="CI12" s="57">
        <f>COUNTIF($C12:$H12,CI$2)</f>
        <v>0</v>
      </c>
      <c r="CJ12" s="57">
        <f>COUNTIF($C12:$H12,CJ$2)</f>
        <v>0</v>
      </c>
      <c r="CK12" s="57">
        <f>COUNTIF($C12:$H12,CK$2)</f>
        <v>1</v>
      </c>
      <c r="CL12" s="57">
        <f>COUNTIF($C12:$H12,CL$2)</f>
        <v>0</v>
      </c>
      <c r="CM12" s="57">
        <f>COUNTIF($C12:$H12,CM$2)</f>
        <v>0</v>
      </c>
      <c r="CN12" s="57">
        <f>COUNTIF($C12:$H12,CN$2)</f>
        <v>0</v>
      </c>
      <c r="CO12" s="57">
        <f>COUNTIF($C12:$H12,CO$2)</f>
        <v>0</v>
      </c>
      <c r="CP12" s="57">
        <f>COUNTIF($C12:$H12,CP$2)</f>
        <v>0</v>
      </c>
      <c r="CQ12" s="57">
        <f>COUNTIF($C12:$H12,CQ$2)</f>
        <v>0</v>
      </c>
      <c r="CR12" s="7">
        <f>COUNTIF($C12:$H12,CR$2)</f>
        <v>0</v>
      </c>
    </row>
    <row r="13" spans="2:96" x14ac:dyDescent="0.25">
      <c r="B13" s="26">
        <v>2012</v>
      </c>
      <c r="C13" s="18">
        <v>14</v>
      </c>
      <c r="D13" s="1">
        <v>32</v>
      </c>
      <c r="E13" s="1">
        <v>33</v>
      </c>
      <c r="F13" s="1">
        <v>36</v>
      </c>
      <c r="G13" s="1">
        <v>41</v>
      </c>
      <c r="H13" s="19">
        <v>52</v>
      </c>
      <c r="I13" s="1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K13" s="6">
        <f>COUNTIF($C13:$H13,AK$2)</f>
        <v>0</v>
      </c>
      <c r="AL13" s="57">
        <f>COUNTIF($C13:$H13,AL$2)</f>
        <v>0</v>
      </c>
      <c r="AM13" s="57">
        <f>COUNTIF($C13:$H13,AM$2)</f>
        <v>0</v>
      </c>
      <c r="AN13" s="57">
        <f>COUNTIF($C13:$H13,AN$2)</f>
        <v>0</v>
      </c>
      <c r="AO13" s="57">
        <f>COUNTIF($C13:$H13,AO$2)</f>
        <v>0</v>
      </c>
      <c r="AP13" s="57">
        <f>COUNTIF($C13:$H13,AP$2)</f>
        <v>0</v>
      </c>
      <c r="AQ13" s="57">
        <f>COUNTIF($C13:$H13,AQ$2)</f>
        <v>0</v>
      </c>
      <c r="AR13" s="57">
        <f>COUNTIF($C13:$H13,AR$2)</f>
        <v>0</v>
      </c>
      <c r="AS13" s="57">
        <f>COUNTIF($C13:$H13,AS$2)</f>
        <v>0</v>
      </c>
      <c r="AT13" s="57">
        <f>COUNTIF($C13:$H13,AT$2)</f>
        <v>0</v>
      </c>
      <c r="AU13" s="57">
        <f>COUNTIF($C13:$H13,AU$2)</f>
        <v>0</v>
      </c>
      <c r="AV13" s="57">
        <f>COUNTIF($C13:$H13,AV$2)</f>
        <v>0</v>
      </c>
      <c r="AW13" s="57">
        <f>COUNTIF($C13:$H13,AW$2)</f>
        <v>0</v>
      </c>
      <c r="AX13" s="57">
        <f>COUNTIF($C13:$H13,AX$2)</f>
        <v>1</v>
      </c>
      <c r="AY13" s="57">
        <f>COUNTIF($C13:$H13,AY$2)</f>
        <v>0</v>
      </c>
      <c r="AZ13" s="57">
        <f>COUNTIF($C13:$H13,AZ$2)</f>
        <v>0</v>
      </c>
      <c r="BA13" s="57">
        <f>COUNTIF($C13:$H13,BA$2)</f>
        <v>0</v>
      </c>
      <c r="BB13" s="57">
        <f>COUNTIF($C13:$H13,BB$2)</f>
        <v>0</v>
      </c>
      <c r="BC13" s="57">
        <f>COUNTIF($C13:$H13,BC$2)</f>
        <v>0</v>
      </c>
      <c r="BD13" s="57">
        <f>COUNTIF($C13:$H13,BD$2)</f>
        <v>0</v>
      </c>
      <c r="BE13" s="57">
        <f>COUNTIF($C13:$H13,BE$2)</f>
        <v>0</v>
      </c>
      <c r="BF13" s="57">
        <f>COUNTIF($C13:$H13,BF$2)</f>
        <v>0</v>
      </c>
      <c r="BG13" s="57">
        <f>COUNTIF($C13:$H13,BG$2)</f>
        <v>0</v>
      </c>
      <c r="BH13" s="57">
        <f>COUNTIF($C13:$H13,BH$2)</f>
        <v>0</v>
      </c>
      <c r="BI13" s="57">
        <f>COUNTIF($C13:$H13,BI$2)</f>
        <v>0</v>
      </c>
      <c r="BJ13" s="57">
        <f>COUNTIF($C13:$H13,BJ$2)</f>
        <v>0</v>
      </c>
      <c r="BK13" s="57">
        <f>COUNTIF($C13:$H13,BK$2)</f>
        <v>0</v>
      </c>
      <c r="BL13" s="57">
        <f>COUNTIF($C13:$H13,BL$2)</f>
        <v>0</v>
      </c>
      <c r="BM13" s="57">
        <f>COUNTIF($C13:$H13,BM$2)</f>
        <v>0</v>
      </c>
      <c r="BN13" s="57">
        <f>COUNTIF($C13:$H13,BN$2)</f>
        <v>0</v>
      </c>
      <c r="BO13" s="57">
        <f>COUNTIF($C13:$H13,BO$2)</f>
        <v>0</v>
      </c>
      <c r="BP13" s="57">
        <f>COUNTIF($C13:$H13,BP$2)</f>
        <v>1</v>
      </c>
      <c r="BQ13" s="57">
        <f>COUNTIF($C13:$H13,BQ$2)</f>
        <v>1</v>
      </c>
      <c r="BR13" s="57">
        <f>COUNTIF($C13:$H13,BR$2)</f>
        <v>0</v>
      </c>
      <c r="BS13" s="57">
        <f>COUNTIF($C13:$H13,BS$2)</f>
        <v>0</v>
      </c>
      <c r="BT13" s="57">
        <f>COUNTIF($C13:$H13,BT$2)</f>
        <v>1</v>
      </c>
      <c r="BU13" s="57">
        <f>COUNTIF($C13:$H13,BU$2)</f>
        <v>0</v>
      </c>
      <c r="BV13" s="57">
        <f>COUNTIF($C13:$H13,BV$2)</f>
        <v>0</v>
      </c>
      <c r="BW13" s="57">
        <f>COUNTIF($C13:$H13,BW$2)</f>
        <v>0</v>
      </c>
      <c r="BX13" s="57">
        <f>COUNTIF($C13:$H13,BX$2)</f>
        <v>0</v>
      </c>
      <c r="BY13" s="57">
        <f>COUNTIF($C13:$H13,BY$2)</f>
        <v>1</v>
      </c>
      <c r="BZ13" s="57">
        <f>COUNTIF($C13:$H13,BZ$2)</f>
        <v>0</v>
      </c>
      <c r="CA13" s="57">
        <f>COUNTIF($C13:$H13,CA$2)</f>
        <v>0</v>
      </c>
      <c r="CB13" s="57">
        <f>COUNTIF($C13:$H13,CB$2)</f>
        <v>0</v>
      </c>
      <c r="CC13" s="57">
        <f>COUNTIF($C13:$H13,CC$2)</f>
        <v>0</v>
      </c>
      <c r="CD13" s="57">
        <f>COUNTIF($C13:$H13,CD$2)</f>
        <v>0</v>
      </c>
      <c r="CE13" s="57">
        <f>COUNTIF($C13:$H13,CE$2)</f>
        <v>0</v>
      </c>
      <c r="CF13" s="57">
        <f>COUNTIF($C13:$H13,CF$2)</f>
        <v>0</v>
      </c>
      <c r="CG13" s="57">
        <f>COUNTIF($C13:$H13,CG$2)</f>
        <v>0</v>
      </c>
      <c r="CH13" s="57">
        <f>COUNTIF($C13:$H13,CH$2)</f>
        <v>0</v>
      </c>
      <c r="CI13" s="57">
        <f>COUNTIF($C13:$H13,CI$2)</f>
        <v>0</v>
      </c>
      <c r="CJ13" s="57">
        <f>COUNTIF($C13:$H13,CJ$2)</f>
        <v>1</v>
      </c>
      <c r="CK13" s="57">
        <f>COUNTIF($C13:$H13,CK$2)</f>
        <v>0</v>
      </c>
      <c r="CL13" s="57">
        <f>COUNTIF($C13:$H13,CL$2)</f>
        <v>0</v>
      </c>
      <c r="CM13" s="57">
        <f>COUNTIF($C13:$H13,CM$2)</f>
        <v>0</v>
      </c>
      <c r="CN13" s="57">
        <f>COUNTIF($C13:$H13,CN$2)</f>
        <v>0</v>
      </c>
      <c r="CO13" s="57">
        <f>COUNTIF($C13:$H13,CO$2)</f>
        <v>0</v>
      </c>
      <c r="CP13" s="57">
        <f>COUNTIF($C13:$H13,CP$2)</f>
        <v>0</v>
      </c>
      <c r="CQ13" s="57">
        <f>COUNTIF($C13:$H13,CQ$2)</f>
        <v>0</v>
      </c>
      <c r="CR13" s="7">
        <f>COUNTIF($C13:$H13,CR$2)</f>
        <v>0</v>
      </c>
    </row>
    <row r="14" spans="2:96" x14ac:dyDescent="0.25">
      <c r="B14" s="26">
        <v>2011</v>
      </c>
      <c r="C14" s="42">
        <v>3</v>
      </c>
      <c r="D14" s="43">
        <v>4</v>
      </c>
      <c r="E14" s="43">
        <v>29</v>
      </c>
      <c r="F14" s="43">
        <v>36</v>
      </c>
      <c r="G14" s="43">
        <v>45</v>
      </c>
      <c r="H14" s="44">
        <v>55</v>
      </c>
      <c r="I14" s="1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K14" s="6">
        <f>COUNTIF($C14:$H14,AK$2)</f>
        <v>0</v>
      </c>
      <c r="AL14" s="57">
        <f>COUNTIF($C14:$H14,AL$2)</f>
        <v>0</v>
      </c>
      <c r="AM14" s="57">
        <f>COUNTIF($C14:$H14,AM$2)</f>
        <v>1</v>
      </c>
      <c r="AN14" s="57">
        <f>COUNTIF($C14:$H14,AN$2)</f>
        <v>1</v>
      </c>
      <c r="AO14" s="57">
        <f>COUNTIF($C14:$H14,AO$2)</f>
        <v>0</v>
      </c>
      <c r="AP14" s="57">
        <f>COUNTIF($C14:$H14,AP$2)</f>
        <v>0</v>
      </c>
      <c r="AQ14" s="57">
        <f>COUNTIF($C14:$H14,AQ$2)</f>
        <v>0</v>
      </c>
      <c r="AR14" s="57">
        <f>COUNTIF($C14:$H14,AR$2)</f>
        <v>0</v>
      </c>
      <c r="AS14" s="57">
        <f>COUNTIF($C14:$H14,AS$2)</f>
        <v>0</v>
      </c>
      <c r="AT14" s="57">
        <f>COUNTIF($C14:$H14,AT$2)</f>
        <v>0</v>
      </c>
      <c r="AU14" s="57">
        <f>COUNTIF($C14:$H14,AU$2)</f>
        <v>0</v>
      </c>
      <c r="AV14" s="57">
        <f>COUNTIF($C14:$H14,AV$2)</f>
        <v>0</v>
      </c>
      <c r="AW14" s="57">
        <f>COUNTIF($C14:$H14,AW$2)</f>
        <v>0</v>
      </c>
      <c r="AX14" s="57">
        <f>COUNTIF($C14:$H14,AX$2)</f>
        <v>0</v>
      </c>
      <c r="AY14" s="57">
        <f>COUNTIF($C14:$H14,AY$2)</f>
        <v>0</v>
      </c>
      <c r="AZ14" s="57">
        <f>COUNTIF($C14:$H14,AZ$2)</f>
        <v>0</v>
      </c>
      <c r="BA14" s="57">
        <f>COUNTIF($C14:$H14,BA$2)</f>
        <v>0</v>
      </c>
      <c r="BB14" s="57">
        <f>COUNTIF($C14:$H14,BB$2)</f>
        <v>0</v>
      </c>
      <c r="BC14" s="57">
        <f>COUNTIF($C14:$H14,BC$2)</f>
        <v>0</v>
      </c>
      <c r="BD14" s="57">
        <f>COUNTIF($C14:$H14,BD$2)</f>
        <v>0</v>
      </c>
      <c r="BE14" s="57">
        <f>COUNTIF($C14:$H14,BE$2)</f>
        <v>0</v>
      </c>
      <c r="BF14" s="57">
        <f>COUNTIF($C14:$H14,BF$2)</f>
        <v>0</v>
      </c>
      <c r="BG14" s="57">
        <f>COUNTIF($C14:$H14,BG$2)</f>
        <v>0</v>
      </c>
      <c r="BH14" s="57">
        <f>COUNTIF($C14:$H14,BH$2)</f>
        <v>0</v>
      </c>
      <c r="BI14" s="57">
        <f>COUNTIF($C14:$H14,BI$2)</f>
        <v>0</v>
      </c>
      <c r="BJ14" s="57">
        <f>COUNTIF($C14:$H14,BJ$2)</f>
        <v>0</v>
      </c>
      <c r="BK14" s="57">
        <f>COUNTIF($C14:$H14,BK$2)</f>
        <v>0</v>
      </c>
      <c r="BL14" s="57">
        <f>COUNTIF($C14:$H14,BL$2)</f>
        <v>0</v>
      </c>
      <c r="BM14" s="57">
        <f>COUNTIF($C14:$H14,BM$2)</f>
        <v>1</v>
      </c>
      <c r="BN14" s="57">
        <f>COUNTIF($C14:$H14,BN$2)</f>
        <v>0</v>
      </c>
      <c r="BO14" s="57">
        <f>COUNTIF($C14:$H14,BO$2)</f>
        <v>0</v>
      </c>
      <c r="BP14" s="57">
        <f>COUNTIF($C14:$H14,BP$2)</f>
        <v>0</v>
      </c>
      <c r="BQ14" s="57">
        <f>COUNTIF($C14:$H14,BQ$2)</f>
        <v>0</v>
      </c>
      <c r="BR14" s="57">
        <f>COUNTIF($C14:$H14,BR$2)</f>
        <v>0</v>
      </c>
      <c r="BS14" s="57">
        <f>COUNTIF($C14:$H14,BS$2)</f>
        <v>0</v>
      </c>
      <c r="BT14" s="57">
        <f>COUNTIF($C14:$H14,BT$2)</f>
        <v>1</v>
      </c>
      <c r="BU14" s="57">
        <f>COUNTIF($C14:$H14,BU$2)</f>
        <v>0</v>
      </c>
      <c r="BV14" s="57">
        <f>COUNTIF($C14:$H14,BV$2)</f>
        <v>0</v>
      </c>
      <c r="BW14" s="57">
        <f>COUNTIF($C14:$H14,BW$2)</f>
        <v>0</v>
      </c>
      <c r="BX14" s="57">
        <f>COUNTIF($C14:$H14,BX$2)</f>
        <v>0</v>
      </c>
      <c r="BY14" s="57">
        <f>COUNTIF($C14:$H14,BY$2)</f>
        <v>0</v>
      </c>
      <c r="BZ14" s="57">
        <f>COUNTIF($C14:$H14,BZ$2)</f>
        <v>0</v>
      </c>
      <c r="CA14" s="57">
        <f>COUNTIF($C14:$H14,CA$2)</f>
        <v>0</v>
      </c>
      <c r="CB14" s="57">
        <f>COUNTIF($C14:$H14,CB$2)</f>
        <v>0</v>
      </c>
      <c r="CC14" s="57">
        <f>COUNTIF($C14:$H14,CC$2)</f>
        <v>1</v>
      </c>
      <c r="CD14" s="57">
        <f>COUNTIF($C14:$H14,CD$2)</f>
        <v>0</v>
      </c>
      <c r="CE14" s="57">
        <f>COUNTIF($C14:$H14,CE$2)</f>
        <v>0</v>
      </c>
      <c r="CF14" s="57">
        <f>COUNTIF($C14:$H14,CF$2)</f>
        <v>0</v>
      </c>
      <c r="CG14" s="57">
        <f>COUNTIF($C14:$H14,CG$2)</f>
        <v>0</v>
      </c>
      <c r="CH14" s="57">
        <f>COUNTIF($C14:$H14,CH$2)</f>
        <v>0</v>
      </c>
      <c r="CI14" s="57">
        <f>COUNTIF($C14:$H14,CI$2)</f>
        <v>0</v>
      </c>
      <c r="CJ14" s="57">
        <f>COUNTIF($C14:$H14,CJ$2)</f>
        <v>0</v>
      </c>
      <c r="CK14" s="57">
        <f>COUNTIF($C14:$H14,CK$2)</f>
        <v>0</v>
      </c>
      <c r="CL14" s="57">
        <f>COUNTIF($C14:$H14,CL$2)</f>
        <v>0</v>
      </c>
      <c r="CM14" s="57">
        <f>COUNTIF($C14:$H14,CM$2)</f>
        <v>1</v>
      </c>
      <c r="CN14" s="57">
        <f>COUNTIF($C14:$H14,CN$2)</f>
        <v>0</v>
      </c>
      <c r="CO14" s="57">
        <f>COUNTIF($C14:$H14,CO$2)</f>
        <v>0</v>
      </c>
      <c r="CP14" s="57">
        <f>COUNTIF($C14:$H14,CP$2)</f>
        <v>0</v>
      </c>
      <c r="CQ14" s="57">
        <f>COUNTIF($C14:$H14,CQ$2)</f>
        <v>0</v>
      </c>
      <c r="CR14" s="7">
        <f>COUNTIF($C14:$H14,CR$2)</f>
        <v>0</v>
      </c>
    </row>
    <row r="15" spans="2:96" x14ac:dyDescent="0.25">
      <c r="B15" s="26">
        <v>2010</v>
      </c>
      <c r="C15" s="18">
        <v>2</v>
      </c>
      <c r="D15" s="1">
        <v>10</v>
      </c>
      <c r="E15" s="1">
        <v>34</v>
      </c>
      <c r="F15" s="1">
        <v>37</v>
      </c>
      <c r="G15" s="1">
        <v>43</v>
      </c>
      <c r="H15" s="19">
        <v>50</v>
      </c>
      <c r="I15" s="1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K15" s="8">
        <f>COUNTIF($C15:$H15,AK$2)</f>
        <v>0</v>
      </c>
      <c r="AL15" s="9">
        <f>COUNTIF($C15:$H15,AL$2)</f>
        <v>1</v>
      </c>
      <c r="AM15" s="9">
        <f>COUNTIF($C15:$H15,AM$2)</f>
        <v>0</v>
      </c>
      <c r="AN15" s="9">
        <f>COUNTIF($C15:$H15,AN$2)</f>
        <v>0</v>
      </c>
      <c r="AO15" s="9">
        <f>COUNTIF($C15:$H15,AO$2)</f>
        <v>0</v>
      </c>
      <c r="AP15" s="9">
        <f>COUNTIF($C15:$H15,AP$2)</f>
        <v>0</v>
      </c>
      <c r="AQ15" s="9">
        <f>COUNTIF($C15:$H15,AQ$2)</f>
        <v>0</v>
      </c>
      <c r="AR15" s="9">
        <f>COUNTIF($C15:$H15,AR$2)</f>
        <v>0</v>
      </c>
      <c r="AS15" s="9">
        <f>COUNTIF($C15:$H15,AS$2)</f>
        <v>0</v>
      </c>
      <c r="AT15" s="9">
        <f>COUNTIF($C15:$H15,AT$2)</f>
        <v>1</v>
      </c>
      <c r="AU15" s="9">
        <f>COUNTIF($C15:$H15,AU$2)</f>
        <v>0</v>
      </c>
      <c r="AV15" s="9">
        <f>COUNTIF($C15:$H15,AV$2)</f>
        <v>0</v>
      </c>
      <c r="AW15" s="9">
        <f>COUNTIF($C15:$H15,AW$2)</f>
        <v>0</v>
      </c>
      <c r="AX15" s="9">
        <f>COUNTIF($C15:$H15,AX$2)</f>
        <v>0</v>
      </c>
      <c r="AY15" s="9">
        <f>COUNTIF($C15:$H15,AY$2)</f>
        <v>0</v>
      </c>
      <c r="AZ15" s="9">
        <f>COUNTIF($C15:$H15,AZ$2)</f>
        <v>0</v>
      </c>
      <c r="BA15" s="9">
        <f>COUNTIF($C15:$H15,BA$2)</f>
        <v>0</v>
      </c>
      <c r="BB15" s="9">
        <f>COUNTIF($C15:$H15,BB$2)</f>
        <v>0</v>
      </c>
      <c r="BC15" s="9">
        <f>COUNTIF($C15:$H15,BC$2)</f>
        <v>0</v>
      </c>
      <c r="BD15" s="9">
        <f>COUNTIF($C15:$H15,BD$2)</f>
        <v>0</v>
      </c>
      <c r="BE15" s="9">
        <f>COUNTIF($C15:$H15,BE$2)</f>
        <v>0</v>
      </c>
      <c r="BF15" s="9">
        <f>COUNTIF($C15:$H15,BF$2)</f>
        <v>0</v>
      </c>
      <c r="BG15" s="9">
        <f>COUNTIF($C15:$H15,BG$2)</f>
        <v>0</v>
      </c>
      <c r="BH15" s="9">
        <f>COUNTIF($C15:$H15,BH$2)</f>
        <v>0</v>
      </c>
      <c r="BI15" s="9">
        <f>COUNTIF($C15:$H15,BI$2)</f>
        <v>0</v>
      </c>
      <c r="BJ15" s="9">
        <f>COUNTIF($C15:$H15,BJ$2)</f>
        <v>0</v>
      </c>
      <c r="BK15" s="9">
        <f>COUNTIF($C15:$H15,BK$2)</f>
        <v>0</v>
      </c>
      <c r="BL15" s="9">
        <f>COUNTIF($C15:$H15,BL$2)</f>
        <v>0</v>
      </c>
      <c r="BM15" s="9">
        <f>COUNTIF($C15:$H15,BM$2)</f>
        <v>0</v>
      </c>
      <c r="BN15" s="9">
        <f>COUNTIF($C15:$H15,BN$2)</f>
        <v>0</v>
      </c>
      <c r="BO15" s="9">
        <f>COUNTIF($C15:$H15,BO$2)</f>
        <v>0</v>
      </c>
      <c r="BP15" s="9">
        <f>COUNTIF($C15:$H15,BP$2)</f>
        <v>0</v>
      </c>
      <c r="BQ15" s="9">
        <f>COUNTIF($C15:$H15,BQ$2)</f>
        <v>0</v>
      </c>
      <c r="BR15" s="9">
        <f>COUNTIF($C15:$H15,BR$2)</f>
        <v>1</v>
      </c>
      <c r="BS15" s="9">
        <f>COUNTIF($C15:$H15,BS$2)</f>
        <v>0</v>
      </c>
      <c r="BT15" s="9">
        <f>COUNTIF($C15:$H15,BT$2)</f>
        <v>0</v>
      </c>
      <c r="BU15" s="9">
        <f>COUNTIF($C15:$H15,BU$2)</f>
        <v>1</v>
      </c>
      <c r="BV15" s="9">
        <f>COUNTIF($C15:$H15,BV$2)</f>
        <v>0</v>
      </c>
      <c r="BW15" s="9">
        <f>COUNTIF($C15:$H15,BW$2)</f>
        <v>0</v>
      </c>
      <c r="BX15" s="9">
        <f>COUNTIF($C15:$H15,BX$2)</f>
        <v>0</v>
      </c>
      <c r="BY15" s="9">
        <f>COUNTIF($C15:$H15,BY$2)</f>
        <v>0</v>
      </c>
      <c r="BZ15" s="9">
        <f>COUNTIF($C15:$H15,BZ$2)</f>
        <v>0</v>
      </c>
      <c r="CA15" s="9">
        <f>COUNTIF($C15:$H15,CA$2)</f>
        <v>1</v>
      </c>
      <c r="CB15" s="9">
        <f>COUNTIF($C15:$H15,CB$2)</f>
        <v>0</v>
      </c>
      <c r="CC15" s="9">
        <f>COUNTIF($C15:$H15,CC$2)</f>
        <v>0</v>
      </c>
      <c r="CD15" s="9">
        <f>COUNTIF($C15:$H15,CD$2)</f>
        <v>0</v>
      </c>
      <c r="CE15" s="9">
        <f>COUNTIF($C15:$H15,CE$2)</f>
        <v>0</v>
      </c>
      <c r="CF15" s="9">
        <f>COUNTIF($C15:$H15,CF$2)</f>
        <v>0</v>
      </c>
      <c r="CG15" s="9">
        <f>COUNTIF($C15:$H15,CG$2)</f>
        <v>0</v>
      </c>
      <c r="CH15" s="9">
        <f>COUNTIF($C15:$H15,CH$2)</f>
        <v>1</v>
      </c>
      <c r="CI15" s="9">
        <f>COUNTIF($C15:$H15,CI$2)</f>
        <v>0</v>
      </c>
      <c r="CJ15" s="9">
        <f>COUNTIF($C15:$H15,CJ$2)</f>
        <v>0</v>
      </c>
      <c r="CK15" s="9">
        <f>COUNTIF($C15:$H15,CK$2)</f>
        <v>0</v>
      </c>
      <c r="CL15" s="9">
        <f>COUNTIF($C15:$H15,CL$2)</f>
        <v>0</v>
      </c>
      <c r="CM15" s="9">
        <f>COUNTIF($C15:$H15,CM$2)</f>
        <v>0</v>
      </c>
      <c r="CN15" s="9">
        <f>COUNTIF($C15:$H15,CN$2)</f>
        <v>0</v>
      </c>
      <c r="CO15" s="9">
        <f>COUNTIF($C15:$H15,CO$2)</f>
        <v>0</v>
      </c>
      <c r="CP15" s="9">
        <f>COUNTIF($C15:$H15,CP$2)</f>
        <v>0</v>
      </c>
      <c r="CQ15" s="9">
        <f>COUNTIF($C15:$H15,CQ$2)</f>
        <v>0</v>
      </c>
      <c r="CR15" s="10">
        <f>COUNTIF($C15:$H15,CR$2)</f>
        <v>0</v>
      </c>
    </row>
    <row r="16" spans="2:96" x14ac:dyDescent="0.25">
      <c r="B16" s="27">
        <v>2009</v>
      </c>
      <c r="C16" s="48">
        <v>10</v>
      </c>
      <c r="D16" s="49">
        <v>27</v>
      </c>
      <c r="E16" s="49">
        <v>40</v>
      </c>
      <c r="F16" s="49">
        <v>46</v>
      </c>
      <c r="G16" s="49">
        <v>49</v>
      </c>
      <c r="H16" s="50">
        <v>58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J16" s="4"/>
      <c r="AK16" s="16">
        <f>SUM(AK3:AK15)</f>
        <v>1</v>
      </c>
      <c r="AL16" s="11">
        <f>SUM(AL3:AL15)</f>
        <v>2</v>
      </c>
      <c r="AM16" s="11">
        <f t="shared" ref="AM16:CQ16" si="6">SUM(AM3:AM15)</f>
        <v>3</v>
      </c>
      <c r="AN16" s="11">
        <f t="shared" si="6"/>
        <v>2</v>
      </c>
      <c r="AO16" s="11">
        <f t="shared" si="6"/>
        <v>4</v>
      </c>
      <c r="AP16" s="11">
        <f t="shared" si="6"/>
        <v>1</v>
      </c>
      <c r="AQ16" s="11">
        <f t="shared" si="6"/>
        <v>0</v>
      </c>
      <c r="AR16" s="11">
        <f t="shared" si="6"/>
        <v>0</v>
      </c>
      <c r="AS16" s="11">
        <f t="shared" si="6"/>
        <v>0</v>
      </c>
      <c r="AT16" s="11">
        <f t="shared" si="6"/>
        <v>4</v>
      </c>
      <c r="AU16" s="11">
        <f t="shared" si="6"/>
        <v>2</v>
      </c>
      <c r="AV16" s="11">
        <f t="shared" si="6"/>
        <v>2</v>
      </c>
      <c r="AW16" s="11">
        <f t="shared" si="6"/>
        <v>0</v>
      </c>
      <c r="AX16" s="11">
        <f t="shared" si="6"/>
        <v>1</v>
      </c>
      <c r="AY16" s="11">
        <f t="shared" si="6"/>
        <v>1</v>
      </c>
      <c r="AZ16" s="11">
        <f t="shared" si="6"/>
        <v>1</v>
      </c>
      <c r="BA16" s="11">
        <f t="shared" si="6"/>
        <v>2</v>
      </c>
      <c r="BB16" s="11">
        <f t="shared" si="6"/>
        <v>2</v>
      </c>
      <c r="BC16" s="11">
        <f t="shared" si="6"/>
        <v>0</v>
      </c>
      <c r="BD16" s="11">
        <f t="shared" si="6"/>
        <v>3</v>
      </c>
      <c r="BE16" s="11">
        <f t="shared" si="6"/>
        <v>0</v>
      </c>
      <c r="BF16" s="11">
        <f t="shared" si="6"/>
        <v>2</v>
      </c>
      <c r="BG16" s="11">
        <f t="shared" si="6"/>
        <v>1</v>
      </c>
      <c r="BH16" s="11">
        <f t="shared" si="6"/>
        <v>1</v>
      </c>
      <c r="BI16" s="11">
        <f t="shared" si="6"/>
        <v>1</v>
      </c>
      <c r="BJ16" s="11">
        <f t="shared" si="6"/>
        <v>0</v>
      </c>
      <c r="BK16" s="11">
        <f t="shared" si="6"/>
        <v>0</v>
      </c>
      <c r="BL16" s="11">
        <f t="shared" si="6"/>
        <v>0</v>
      </c>
      <c r="BM16" s="11">
        <f t="shared" si="6"/>
        <v>1</v>
      </c>
      <c r="BN16" s="11">
        <f t="shared" si="6"/>
        <v>1</v>
      </c>
      <c r="BO16" s="11">
        <f t="shared" si="6"/>
        <v>1</v>
      </c>
      <c r="BP16" s="11">
        <f t="shared" si="6"/>
        <v>2</v>
      </c>
      <c r="BQ16" s="11">
        <f t="shared" si="6"/>
        <v>3</v>
      </c>
      <c r="BR16" s="11">
        <f t="shared" si="6"/>
        <v>3</v>
      </c>
      <c r="BS16" s="11">
        <f t="shared" si="6"/>
        <v>2</v>
      </c>
      <c r="BT16" s="11">
        <f t="shared" si="6"/>
        <v>3</v>
      </c>
      <c r="BU16" s="11">
        <f t="shared" si="6"/>
        <v>2</v>
      </c>
      <c r="BV16" s="11">
        <f t="shared" si="6"/>
        <v>2</v>
      </c>
      <c r="BW16" s="11">
        <f t="shared" si="6"/>
        <v>0</v>
      </c>
      <c r="BX16" s="11">
        <f t="shared" si="6"/>
        <v>1</v>
      </c>
      <c r="BY16" s="11">
        <f t="shared" si="6"/>
        <v>2</v>
      </c>
      <c r="BZ16" s="11">
        <f t="shared" si="6"/>
        <v>2</v>
      </c>
      <c r="CA16" s="11">
        <f t="shared" si="6"/>
        <v>1</v>
      </c>
      <c r="CB16" s="11">
        <f t="shared" si="6"/>
        <v>0</v>
      </c>
      <c r="CC16" s="11">
        <f t="shared" si="6"/>
        <v>1</v>
      </c>
      <c r="CD16" s="11">
        <f t="shared" si="6"/>
        <v>1</v>
      </c>
      <c r="CE16" s="11">
        <f t="shared" si="6"/>
        <v>1</v>
      </c>
      <c r="CF16" s="11">
        <f t="shared" si="6"/>
        <v>0</v>
      </c>
      <c r="CG16" s="11">
        <f t="shared" si="6"/>
        <v>0</v>
      </c>
      <c r="CH16" s="11">
        <f t="shared" si="6"/>
        <v>1</v>
      </c>
      <c r="CI16" s="11">
        <f t="shared" si="6"/>
        <v>2</v>
      </c>
      <c r="CJ16" s="11">
        <f t="shared" si="6"/>
        <v>1</v>
      </c>
      <c r="CK16" s="11">
        <f t="shared" si="6"/>
        <v>2</v>
      </c>
      <c r="CL16" s="11">
        <f t="shared" si="6"/>
        <v>0</v>
      </c>
      <c r="CM16" s="11">
        <f t="shared" si="6"/>
        <v>1</v>
      </c>
      <c r="CN16" s="11">
        <f t="shared" si="6"/>
        <v>2</v>
      </c>
      <c r="CO16" s="11">
        <f t="shared" si="6"/>
        <v>1</v>
      </c>
      <c r="CP16" s="11">
        <f t="shared" si="6"/>
        <v>2</v>
      </c>
      <c r="CQ16" s="11">
        <f t="shared" si="6"/>
        <v>1</v>
      </c>
      <c r="CR16" s="12">
        <f>SUM(CR3:CR15)</f>
        <v>0</v>
      </c>
    </row>
    <row r="17" spans="2:29" x14ac:dyDescent="0.25">
      <c r="B17" s="3"/>
      <c r="C17" s="1"/>
      <c r="D17" s="1"/>
      <c r="E17" s="1"/>
      <c r="F17" s="1"/>
      <c r="G17" s="1"/>
      <c r="H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2:29" x14ac:dyDescent="0.25">
      <c r="B18" s="2"/>
    </row>
  </sheetData>
  <mergeCells count="2">
    <mergeCell ref="C2:H2"/>
    <mergeCell ref="N2:AI2"/>
  </mergeCells>
  <conditionalFormatting sqref="AK3:CR16">
    <cfRule type="cellIs" dxfId="2" priority="4" operator="greaterThan">
      <formula>2</formula>
    </cfRule>
    <cfRule type="cellIs" dxfId="1" priority="5" operator="between">
      <formula>1</formula>
      <formula>1</formula>
    </cfRule>
    <cfRule type="cellIs" dxfId="0" priority="6" operator="between">
      <formula>2</formula>
      <formula>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4528F-7C07-4CDC-888C-1B58BE685157}">
  <dimension ref="A1:R2"/>
  <sheetViews>
    <sheetView showGridLines="0" showRowColHeaders="0" workbookViewId="0">
      <selection activeCell="A2" sqref="A2"/>
    </sheetView>
  </sheetViews>
  <sheetFormatPr defaultRowHeight="15" x14ac:dyDescent="0.25"/>
  <sheetData>
    <row r="1" spans="1:18" x14ac:dyDescent="0.25">
      <c r="A1">
        <f ca="1">RANK(A2,$A$2:$R$2)</f>
        <v>10</v>
      </c>
      <c r="B1">
        <f ca="1">RANK(B2,$A$2:$R$2)</f>
        <v>3</v>
      </c>
      <c r="C1">
        <f ca="1">RANK(C2,$A$2:$R$2)</f>
        <v>4</v>
      </c>
      <c r="D1">
        <f ca="1">RANK(D2,$A$2:$R$2)</f>
        <v>18</v>
      </c>
      <c r="E1">
        <f ca="1">RANK(E2,$A$2:$R$2)</f>
        <v>16</v>
      </c>
      <c r="F1">
        <f ca="1">RANK(F2,$A$2:$R$2)</f>
        <v>6</v>
      </c>
      <c r="G1">
        <f ca="1">RANK(G2,$A$2:$R$2)</f>
        <v>13</v>
      </c>
      <c r="H1">
        <f ca="1">RANK(H2,$A$2:$R$2)</f>
        <v>7</v>
      </c>
      <c r="I1">
        <f ca="1">RANK(I2,$A$2:$R$2)</f>
        <v>5</v>
      </c>
      <c r="J1">
        <f ca="1">RANK(J2,$A$2:$R$2)</f>
        <v>9</v>
      </c>
      <c r="K1">
        <f ca="1">RANK(K2,$A$2:$R$2)</f>
        <v>17</v>
      </c>
      <c r="L1">
        <f ca="1">RANK(L2,$A$2:$R$2)</f>
        <v>14</v>
      </c>
      <c r="M1">
        <f ca="1">RANK(M2,$A$2:$R$2)</f>
        <v>8</v>
      </c>
      <c r="N1">
        <f ca="1">RANK(N2,$A$2:$R$2)</f>
        <v>11</v>
      </c>
      <c r="O1">
        <f ca="1">RANK(O2,$A$2:$R$2)</f>
        <v>12</v>
      </c>
      <c r="P1">
        <f ca="1">RANK(P2,$A$2:$R$2)</f>
        <v>1</v>
      </c>
      <c r="Q1">
        <f ca="1">RANK(Q2,$A$2:$R$2)</f>
        <v>15</v>
      </c>
      <c r="R1">
        <f ca="1">RANK(R2,$A$2:$R$2)</f>
        <v>2</v>
      </c>
    </row>
    <row r="2" spans="1:18" x14ac:dyDescent="0.25">
      <c r="A2">
        <f ca="1">'Gerar Jogos'!C3</f>
        <v>39</v>
      </c>
      <c r="B2">
        <f ca="1">'Gerar Jogos'!D3</f>
        <v>49</v>
      </c>
      <c r="C2">
        <f ca="1">'Gerar Jogos'!E3</f>
        <v>48</v>
      </c>
      <c r="D2">
        <f ca="1">'Gerar Jogos'!F3</f>
        <v>13</v>
      </c>
      <c r="E2">
        <f ca="1">'Gerar Jogos'!G3</f>
        <v>21</v>
      </c>
      <c r="F2">
        <f ca="1">'Gerar Jogos'!H3</f>
        <v>44</v>
      </c>
      <c r="G2">
        <f ca="1">'Gerar Jogos'!C4</f>
        <v>30</v>
      </c>
      <c r="H2">
        <f ca="1">'Gerar Jogos'!D4</f>
        <v>43</v>
      </c>
      <c r="I2">
        <f ca="1">'Gerar Jogos'!E4</f>
        <v>47</v>
      </c>
      <c r="J2">
        <f ca="1">'Gerar Jogos'!F4</f>
        <v>40</v>
      </c>
      <c r="K2">
        <f ca="1">'Gerar Jogos'!G4</f>
        <v>15</v>
      </c>
      <c r="L2">
        <f ca="1">'Gerar Jogos'!H4</f>
        <v>23</v>
      </c>
      <c r="M2">
        <f ca="1">'Gerar Jogos'!C5</f>
        <v>42</v>
      </c>
      <c r="N2">
        <f ca="1">'Gerar Jogos'!D5</f>
        <v>37</v>
      </c>
      <c r="O2">
        <f ca="1">'Gerar Jogos'!E5</f>
        <v>32</v>
      </c>
      <c r="P2">
        <f ca="1">'Gerar Jogos'!F5</f>
        <v>56</v>
      </c>
      <c r="Q2">
        <f ca="1">'Gerar Jogos'!G5</f>
        <v>22</v>
      </c>
      <c r="R2">
        <f ca="1">'Gerar Jogos'!H5</f>
        <v>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Gerar Jogos</vt:lpstr>
      <vt:lpstr>Resultados</vt:lpstr>
      <vt:lpstr>Aux.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Souza dos Santos</dc:creator>
  <cp:lastModifiedBy>Daniel Souza dos Santos</cp:lastModifiedBy>
  <dcterms:created xsi:type="dcterms:W3CDTF">2022-12-29T19:32:41Z</dcterms:created>
  <dcterms:modified xsi:type="dcterms:W3CDTF">2023-01-03T17:44:52Z</dcterms:modified>
</cp:coreProperties>
</file>